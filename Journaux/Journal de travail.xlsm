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51196F13-6AD0-C1B8-E2B4-A1F9AE17003E}"/>
  <workbookPr filterPrivacy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Xavier/Documents/CPNV/Modules/2017-2018/T3/Pre-TPI/Repos/PreTPI-CosWorld/Journaux/"/>
    </mc:Choice>
  </mc:AlternateContent>
  <bookViews>
    <workbookView xWindow="0" yWindow="460" windowWidth="28800" windowHeight="17540"/>
  </bookViews>
  <sheets>
    <sheet name="Journal" sheetId="1" r:id="rId1"/>
    <sheet name="Totaux" sheetId="4" r:id="rId2"/>
    <sheet name="Paramètres" sheetId="2" r:id="rId3"/>
  </sheets>
  <calcPr calcId="150001" concurrentCalc="0"/>
  <pivotCaches>
    <pivotCache cacheId="14" r:id="rId4"/>
  </pivotCaches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D32" i="1"/>
  <c r="D33" i="1"/>
  <c r="D34" i="1"/>
  <c r="D35" i="1"/>
  <c r="D28" i="1"/>
  <c r="D29" i="1"/>
  <c r="D24" i="1"/>
  <c r="D25" i="1"/>
  <c r="D26" i="1"/>
  <c r="D27" i="1"/>
  <c r="D17" i="1"/>
  <c r="D18" i="1"/>
  <c r="D19" i="1"/>
  <c r="D20" i="1"/>
  <c r="D21" i="1"/>
  <c r="D22" i="1"/>
  <c r="D23" i="1"/>
  <c r="D16" i="1"/>
  <c r="D15" i="1"/>
  <c r="D14" i="1"/>
  <c r="D12" i="1"/>
  <c r="D13" i="1"/>
  <c r="D11" i="1"/>
  <c r="D10" i="1"/>
  <c r="D6" i="1"/>
  <c r="D7" i="1"/>
  <c r="D8" i="1"/>
  <c r="D9" i="1"/>
  <c r="D2" i="1"/>
  <c r="D3" i="1"/>
  <c r="D4" i="1"/>
  <c r="D5" i="1"/>
  <c r="D30" i="1"/>
  <c r="B2" i="1"/>
  <c r="B3" i="1"/>
  <c r="B4" i="1"/>
  <c r="B5" i="1"/>
  <c r="B6" i="1"/>
  <c r="B9" i="1"/>
  <c r="B30" i="1"/>
  <c r="B31" i="1"/>
  <c r="B32" i="1"/>
  <c r="B33" i="1"/>
  <c r="B34" i="1"/>
  <c r="B35" i="1"/>
  <c r="B28" i="1"/>
  <c r="B29" i="1"/>
  <c r="B24" i="1"/>
  <c r="B25" i="1"/>
  <c r="B26" i="1"/>
  <c r="B27" i="1"/>
  <c r="B17" i="1"/>
  <c r="B18" i="1"/>
  <c r="B19" i="1"/>
  <c r="B20" i="1"/>
  <c r="B21" i="1"/>
  <c r="B22" i="1"/>
  <c r="B23" i="1"/>
  <c r="B16" i="1"/>
  <c r="B14" i="1"/>
  <c r="B15" i="1"/>
  <c r="B12" i="1"/>
  <c r="B13" i="1"/>
  <c r="B11" i="1"/>
  <c r="B10" i="1"/>
  <c r="B7" i="1"/>
  <c r="B8" i="1"/>
</calcChain>
</file>

<file path=xl/sharedStrings.xml><?xml version="1.0" encoding="utf-8"?>
<sst xmlns="http://schemas.openxmlformats.org/spreadsheetml/2006/main" count="101" uniqueCount="58">
  <si>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</si>
  <si>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</si>
  <si>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</si>
  <si>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</si>
  <si>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</si>
  <si>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</si>
  <si>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</si>
  <si>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</si>
  <si>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</si>
  <si>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</si>
  <si>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</si>
  <si>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</si>
  <si>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</si>
  <si>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</si>
  <si>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</si>
  <si>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</si>
  <si>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</si>
  <si>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</si>
  <si>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</si>
  <si>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</si>
  <si>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</si>
  <si>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</si>
  <si>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</si>
  <si>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</si>
  <si>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</si>
  <si>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</si>
  <si>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</si>
  <si>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</si>
  <si>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</si>
  <si>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</si>
  <si>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</si>
  <si>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</si>
  <si>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</si>
  <si>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</si>
  <si>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</si>
  <si>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</si>
  <si>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</si>
  <si>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</si>
  <si>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</si>
  <si>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</si>
  <si>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</si>
  <si>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</si>
  <si>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</si>
  <si>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</si>
  <si>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</si>
  <si>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</si>
  <si>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</si>
  <si>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</si>
  <si>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</si>
  <si>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</si>
  <si>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</si>
  <si>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</si>
  <si>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</si>
  <si>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</si>
  <si>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</si>
  <si>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</si>
  <si>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Beaucoup de retard</t>
  </si>
  <si>
    <t>Temps [1/4h]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</si>
</sst>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7" fontId="1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1">
    <dxf>
      <numFmt numFmtId="2" formatCode="0.00"/>
    </dxf>
    <dxf>
      <numFmt numFmtId="165" formatCode="[$-F400]h:mm:ss\ AM/PM"/>
    </dxf>
    <dxf>
      <numFmt numFmtId="0" formatCode="General"/>
    </dxf>
    <dxf>
      <numFmt numFmtId="165" formatCode="[$-F400]h:mm:ss\ AM/PM"/>
    </dxf>
    <dxf>
      <numFmt numFmtId="2" formatCode="0.00"/>
    </dxf>
    <dxf>
      <numFmt numFmtId="165" formatCode="[$-F400]h:mm:ss\ AM/PM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0</xdr:row>
          <xdr:rowOff>25400</xdr:rowOff>
        </xdr:from>
        <xdr:to>
          <xdr:col>5</xdr:col>
          <xdr:colOff>330200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34" sheet="Journal"/>
  </cacheSource>
  <cacheFields count="5">
    <cacheField name="Jour" numFmtId="167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4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/>
  <dimension ref="A1:J35"/>
  <sheetViews>
    <sheetView tabSelected="1" workbookViewId="0">
      <selection activeCell="F12" sqref="F12"/>
    </sheetView>
  </sheetViews>
  <sheetFormatPr baseColWidth="10" defaultColWidth="9.1640625" defaultRowHeight="15" x14ac:dyDescent="0.2"/>
  <cols>
    <col min="1" max="1" width="28" style="18" customWidth="1"/>
    <col min="2" max="2" width="8.1640625" style="15" bestFit="1" customWidth="1"/>
    <col min="3" max="3" width="13.6640625" style="24" customWidth="1"/>
    <col min="4" max="4" width="13.6640625" style="21" customWidth="1"/>
    <col min="5" max="5" width="16" style="6" customWidth="1"/>
    <col min="6" max="6" width="84.83203125" style="12" bestFit="1" customWidth="1"/>
    <col min="7" max="7" width="75.1640625" style="12" customWidth="1"/>
    <col min="8" max="16384" width="9.1640625" style="8"/>
  </cols>
  <sheetData>
    <row r="1" spans="1:10" ht="24" customHeight="1" x14ac:dyDescent="0.2">
      <c r="A1" s="16" t="s">
        <v>2</v>
      </c>
      <c r="B1" s="13" t="s">
        <v>12</v>
      </c>
      <c r="C1" s="22" t="s">
        <v>57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">
      <c r="A2" s="17">
        <v>43161</v>
      </c>
      <c r="B2" s="14">
        <f>WEEKNUM(A2)</f>
        <v>9</v>
      </c>
      <c r="C2" s="23">
        <v>3</v>
      </c>
      <c r="D2" s="20">
        <f>C2/4</f>
        <v>0.75</v>
      </c>
      <c r="E2" s="9" t="s">
        <v>7</v>
      </c>
      <c r="F2" s="10" t="s">
        <v>55</v>
      </c>
      <c r="G2" s="10" t="s">
        <v>56</v>
      </c>
      <c r="J2" s="11"/>
    </row>
    <row r="3" spans="1:10" x14ac:dyDescent="0.2">
      <c r="A3" s="17">
        <v>43161</v>
      </c>
      <c r="B3" s="14">
        <f>WEEKNUM(A3)</f>
        <v>9</v>
      </c>
      <c r="C3" s="23">
        <v>2</v>
      </c>
      <c r="D3" s="20">
        <f>C3/4</f>
        <v>0.5</v>
      </c>
      <c r="E3" s="9" t="s">
        <v>6</v>
      </c>
      <c r="F3" s="10" t="s">
        <v>54</v>
      </c>
      <c r="G3" s="10"/>
      <c r="J3" s="11"/>
    </row>
    <row r="4" spans="1:10" x14ac:dyDescent="0.2">
      <c r="A4" s="17">
        <v>43161</v>
      </c>
      <c r="B4" s="14">
        <f>WEEKNUM(A4)</f>
        <v>9</v>
      </c>
      <c r="C4" s="23">
        <v>3</v>
      </c>
      <c r="D4" s="20">
        <f>C4/4</f>
        <v>0.75</v>
      </c>
      <c r="E4" s="9" t="s">
        <v>6</v>
      </c>
      <c r="F4" s="10" t="s">
        <v>54</v>
      </c>
      <c r="G4" s="10"/>
      <c r="J4" s="11"/>
    </row>
    <row r="5" spans="1:10" x14ac:dyDescent="0.2">
      <c r="A5" s="17">
        <v>43161</v>
      </c>
      <c r="B5" s="14">
        <f>WEEKNUM(A5)</f>
        <v>9</v>
      </c>
      <c r="C5" s="23">
        <v>3</v>
      </c>
      <c r="D5" s="20">
        <f>C5/4</f>
        <v>0.75</v>
      </c>
      <c r="E5" s="9" t="s">
        <v>6</v>
      </c>
      <c r="F5" s="10" t="s">
        <v>52</v>
      </c>
      <c r="G5" s="10" t="s">
        <v>53</v>
      </c>
      <c r="J5" s="11"/>
    </row>
    <row r="6" spans="1:10" x14ac:dyDescent="0.2">
      <c r="A6" s="17">
        <v>43160</v>
      </c>
      <c r="B6" s="14">
        <f>WEEKNUM(A6)</f>
        <v>9</v>
      </c>
      <c r="C6" s="23">
        <v>6</v>
      </c>
      <c r="D6" s="20">
        <f>C6/4</f>
        <v>1.5</v>
      </c>
      <c r="E6" s="9" t="s">
        <v>10</v>
      </c>
      <c r="F6" s="10" t="s">
        <v>25</v>
      </c>
      <c r="G6" s="10"/>
      <c r="J6" s="11"/>
    </row>
    <row r="7" spans="1:10" x14ac:dyDescent="0.2">
      <c r="A7" s="17">
        <v>43160</v>
      </c>
      <c r="B7" s="14">
        <f>WEEKNUM(A7)</f>
        <v>9</v>
      </c>
      <c r="C7" s="23">
        <v>12</v>
      </c>
      <c r="D7" s="20">
        <f>C7/4</f>
        <v>3</v>
      </c>
      <c r="E7" s="9" t="s">
        <v>7</v>
      </c>
      <c r="F7" s="10" t="s">
        <v>38</v>
      </c>
      <c r="G7" s="10" t="s">
        <v>50</v>
      </c>
      <c r="J7" s="11"/>
    </row>
    <row r="8" spans="1:10" x14ac:dyDescent="0.2">
      <c r="A8" s="17">
        <v>43160</v>
      </c>
      <c r="B8" s="14">
        <f>WEEKNUM(A8)</f>
        <v>9</v>
      </c>
      <c r="C8" s="23">
        <v>6</v>
      </c>
      <c r="D8" s="20">
        <f>C8/4</f>
        <v>1.5</v>
      </c>
      <c r="E8" s="9" t="s">
        <v>6</v>
      </c>
      <c r="F8" s="10" t="s">
        <v>40</v>
      </c>
      <c r="G8" s="10" t="s">
        <v>51</v>
      </c>
      <c r="J8" s="11"/>
    </row>
    <row r="9" spans="1:10" x14ac:dyDescent="0.2">
      <c r="A9" s="17">
        <v>43160</v>
      </c>
      <c r="B9" s="14">
        <f>WEEKNUM(A9)</f>
        <v>9</v>
      </c>
      <c r="C9" s="23">
        <v>6</v>
      </c>
      <c r="D9" s="20">
        <f>C9/4</f>
        <v>1.5</v>
      </c>
      <c r="E9" s="9" t="s">
        <v>10</v>
      </c>
      <c r="F9" s="10" t="s">
        <v>25</v>
      </c>
      <c r="G9" s="10"/>
      <c r="J9" s="11"/>
    </row>
    <row r="10" spans="1:10" x14ac:dyDescent="0.2">
      <c r="A10" s="17">
        <v>43158</v>
      </c>
      <c r="B10" s="14">
        <f>WEEKNUM(A10)</f>
        <v>9</v>
      </c>
      <c r="C10" s="23">
        <v>9</v>
      </c>
      <c r="D10" s="20">
        <f>C10/4</f>
        <v>2.25</v>
      </c>
      <c r="E10" s="9" t="s">
        <v>6</v>
      </c>
      <c r="F10" s="10" t="s">
        <v>39</v>
      </c>
      <c r="G10" s="10"/>
      <c r="J10" s="11"/>
    </row>
    <row r="11" spans="1:10" x14ac:dyDescent="0.2">
      <c r="A11" s="17">
        <v>43147</v>
      </c>
      <c r="B11" s="14">
        <f>WEEKNUM(A11)</f>
        <v>7</v>
      </c>
      <c r="C11" s="23">
        <v>9</v>
      </c>
      <c r="D11" s="20">
        <f>C11/4</f>
        <v>2.25</v>
      </c>
      <c r="E11" s="9" t="s">
        <v>7</v>
      </c>
      <c r="F11" s="10" t="s">
        <v>38</v>
      </c>
      <c r="G11" s="10" t="s">
        <v>49</v>
      </c>
      <c r="J11" s="11"/>
    </row>
    <row r="12" spans="1:10" x14ac:dyDescent="0.2">
      <c r="A12" s="17">
        <v>43146</v>
      </c>
      <c r="B12" s="14">
        <f>WEEKNUM(A12)</f>
        <v>7</v>
      </c>
      <c r="C12" s="23">
        <v>15</v>
      </c>
      <c r="D12" s="20">
        <f>C12/4</f>
        <v>3.75</v>
      </c>
      <c r="E12" s="9" t="s">
        <v>6</v>
      </c>
      <c r="F12" s="10" t="s">
        <v>36</v>
      </c>
      <c r="G12" s="10"/>
      <c r="J12" s="11"/>
    </row>
    <row r="13" spans="1:10" x14ac:dyDescent="0.2">
      <c r="A13" s="17">
        <v>43146</v>
      </c>
      <c r="B13" s="14">
        <f>WEEKNUM(A13)</f>
        <v>7</v>
      </c>
      <c r="C13" s="23">
        <v>9</v>
      </c>
      <c r="D13" s="20">
        <f>C13/4</f>
        <v>2.25</v>
      </c>
      <c r="E13" s="9" t="s">
        <v>6</v>
      </c>
      <c r="F13" s="10" t="s">
        <v>37</v>
      </c>
      <c r="G13" s="10"/>
      <c r="J13" s="11"/>
    </row>
    <row r="14" spans="1:10" x14ac:dyDescent="0.2">
      <c r="A14" s="17">
        <v>43144</v>
      </c>
      <c r="B14" s="14">
        <f>WEEKNUM(A14)</f>
        <v>7</v>
      </c>
      <c r="C14" s="23">
        <v>6</v>
      </c>
      <c r="D14" s="20">
        <f>C14/4</f>
        <v>1.5</v>
      </c>
      <c r="E14" s="9" t="s">
        <v>10</v>
      </c>
      <c r="F14" s="10" t="s">
        <v>34</v>
      </c>
      <c r="G14" s="10"/>
      <c r="J14" s="11"/>
    </row>
    <row r="15" spans="1:10" x14ac:dyDescent="0.2">
      <c r="A15" s="17">
        <v>43143</v>
      </c>
      <c r="B15" s="14">
        <f>WEEKNUM(A15)</f>
        <v>7</v>
      </c>
      <c r="C15" s="23">
        <v>9</v>
      </c>
      <c r="D15" s="20">
        <f>C15/4</f>
        <v>2.25</v>
      </c>
      <c r="E15" s="9" t="s">
        <v>6</v>
      </c>
      <c r="F15" s="10" t="s">
        <v>35</v>
      </c>
      <c r="G15" s="10" t="s">
        <v>48</v>
      </c>
      <c r="J15" s="11"/>
    </row>
    <row r="16" spans="1:10" x14ac:dyDescent="0.2">
      <c r="A16" s="17">
        <v>43140</v>
      </c>
      <c r="B16" s="14">
        <f>WEEKNUM(A16)</f>
        <v>6</v>
      </c>
      <c r="C16" s="23">
        <v>6</v>
      </c>
      <c r="D16" s="20">
        <f>C16/4</f>
        <v>1.5</v>
      </c>
      <c r="E16" s="9" t="s">
        <v>6</v>
      </c>
      <c r="F16" s="10" t="s">
        <v>33</v>
      </c>
      <c r="G16" s="10"/>
      <c r="J16" s="11"/>
    </row>
    <row r="17" spans="1:10" x14ac:dyDescent="0.2">
      <c r="A17" s="17">
        <v>43139</v>
      </c>
      <c r="B17" s="14">
        <f>WEEKNUM(A17)</f>
        <v>6</v>
      </c>
      <c r="C17" s="23">
        <v>2</v>
      </c>
      <c r="D17" s="20">
        <f>C17/4</f>
        <v>0.5</v>
      </c>
      <c r="E17" s="9" t="s">
        <v>6</v>
      </c>
      <c r="F17" s="10" t="s">
        <v>26</v>
      </c>
      <c r="G17" s="10" t="s">
        <v>47</v>
      </c>
      <c r="J17" s="11"/>
    </row>
    <row r="18" spans="1:10" x14ac:dyDescent="0.2">
      <c r="A18" s="17">
        <v>43139</v>
      </c>
      <c r="B18" s="14">
        <f>WEEKNUM(A18)</f>
        <v>6</v>
      </c>
      <c r="C18" s="23">
        <v>1</v>
      </c>
      <c r="D18" s="20">
        <f>C18/4</f>
        <v>0.25</v>
      </c>
      <c r="E18" s="9" t="s">
        <v>6</v>
      </c>
      <c r="F18" s="10" t="s">
        <v>27</v>
      </c>
      <c r="G18" s="10"/>
      <c r="J18" s="11"/>
    </row>
    <row r="19" spans="1:10" x14ac:dyDescent="0.2">
      <c r="A19" s="17">
        <v>43139</v>
      </c>
      <c r="B19" s="14">
        <f>WEEKNUM(A19)</f>
        <v>6</v>
      </c>
      <c r="C19" s="23">
        <v>9</v>
      </c>
      <c r="D19" s="20">
        <f>C19/4</f>
        <v>2.25</v>
      </c>
      <c r="E19" s="9" t="s">
        <v>6</v>
      </c>
      <c r="F19" s="10" t="s">
        <v>28</v>
      </c>
      <c r="G19" s="10"/>
      <c r="J19" s="11"/>
    </row>
    <row r="20" spans="1:10" x14ac:dyDescent="0.2">
      <c r="A20" s="17">
        <v>43139</v>
      </c>
      <c r="B20" s="14">
        <f>WEEKNUM(A20)</f>
        <v>6</v>
      </c>
      <c r="C20" s="23">
        <v>3</v>
      </c>
      <c r="D20" s="20">
        <f>C20/4</f>
        <v>0.75</v>
      </c>
      <c r="E20" s="9" t="s">
        <v>6</v>
      </c>
      <c r="F20" s="10" t="s">
        <v>29</v>
      </c>
      <c r="G20" s="10"/>
      <c r="J20" s="11"/>
    </row>
    <row r="21" spans="1:10" x14ac:dyDescent="0.2">
      <c r="A21" s="17">
        <v>43139</v>
      </c>
      <c r="B21" s="14">
        <f>WEEKNUM(A21)</f>
        <v>6</v>
      </c>
      <c r="C21" s="23">
        <v>6</v>
      </c>
      <c r="D21" s="20">
        <f>C21/4</f>
        <v>1.5</v>
      </c>
      <c r="E21" s="9" t="s">
        <v>6</v>
      </c>
      <c r="F21" s="10" t="s">
        <v>30</v>
      </c>
      <c r="G21" s="10"/>
      <c r="J21" s="11"/>
    </row>
    <row r="22" spans="1:10" ht="30" x14ac:dyDescent="0.2">
      <c r="A22" s="17">
        <v>43139</v>
      </c>
      <c r="B22" s="14">
        <f>WEEKNUM(A22)</f>
        <v>6</v>
      </c>
      <c r="C22" s="23">
        <v>2</v>
      </c>
      <c r="D22" s="20">
        <f>C22/4</f>
        <v>0.5</v>
      </c>
      <c r="E22" s="9" t="s">
        <v>6</v>
      </c>
      <c r="F22" s="10" t="s">
        <v>31</v>
      </c>
      <c r="G22" s="10"/>
      <c r="J22" s="11"/>
    </row>
    <row r="23" spans="1:10" x14ac:dyDescent="0.2">
      <c r="A23" s="17">
        <v>43139</v>
      </c>
      <c r="B23" s="14">
        <f>WEEKNUM(A23)</f>
        <v>6</v>
      </c>
      <c r="C23" s="23">
        <v>3</v>
      </c>
      <c r="D23" s="20">
        <f>C23/4</f>
        <v>0.75</v>
      </c>
      <c r="E23" s="9" t="s">
        <v>6</v>
      </c>
      <c r="F23" s="10" t="s">
        <v>32</v>
      </c>
      <c r="G23" s="10"/>
      <c r="J23" s="11"/>
    </row>
    <row r="24" spans="1:10" ht="30" x14ac:dyDescent="0.2">
      <c r="A24" s="17">
        <v>43137</v>
      </c>
      <c r="B24" s="14">
        <f>WEEKNUM(A24)</f>
        <v>6</v>
      </c>
      <c r="C24" s="23">
        <v>1</v>
      </c>
      <c r="D24" s="20">
        <f>C24/4</f>
        <v>0.25</v>
      </c>
      <c r="E24" s="9" t="s">
        <v>6</v>
      </c>
      <c r="F24" s="10" t="s">
        <v>22</v>
      </c>
      <c r="G24" s="10" t="s">
        <v>45</v>
      </c>
      <c r="J24" s="11"/>
    </row>
    <row r="25" spans="1:10" x14ac:dyDescent="0.2">
      <c r="A25" s="17">
        <v>43137</v>
      </c>
      <c r="B25" s="14">
        <f>WEEKNUM(A25)</f>
        <v>6</v>
      </c>
      <c r="C25" s="23">
        <v>1</v>
      </c>
      <c r="D25" s="20">
        <f>C25/4</f>
        <v>0.25</v>
      </c>
      <c r="E25" s="9" t="s">
        <v>6</v>
      </c>
      <c r="F25" s="10" t="s">
        <v>23</v>
      </c>
      <c r="G25" s="10"/>
      <c r="J25" s="11"/>
    </row>
    <row r="26" spans="1:10" ht="30" x14ac:dyDescent="0.2">
      <c r="A26" s="17">
        <v>43137</v>
      </c>
      <c r="B26" s="14">
        <f>WEEKNUM(A26)</f>
        <v>6</v>
      </c>
      <c r="C26" s="23">
        <v>1</v>
      </c>
      <c r="D26" s="20">
        <f>C26/4</f>
        <v>0.25</v>
      </c>
      <c r="E26" s="9" t="s">
        <v>6</v>
      </c>
      <c r="F26" s="10" t="s">
        <v>24</v>
      </c>
      <c r="G26" s="10" t="s">
        <v>46</v>
      </c>
      <c r="J26" s="11"/>
    </row>
    <row r="27" spans="1:10" x14ac:dyDescent="0.2">
      <c r="A27" s="17">
        <v>43137</v>
      </c>
      <c r="B27" s="14">
        <f>WEEKNUM(A27)</f>
        <v>6</v>
      </c>
      <c r="C27" s="23">
        <v>6</v>
      </c>
      <c r="D27" s="20">
        <f>C27/4</f>
        <v>1.5</v>
      </c>
      <c r="E27" s="9" t="s">
        <v>10</v>
      </c>
      <c r="F27" s="10" t="s">
        <v>25</v>
      </c>
      <c r="G27" s="10"/>
      <c r="J27" s="11"/>
    </row>
    <row r="28" spans="1:10" x14ac:dyDescent="0.2">
      <c r="A28" s="17">
        <v>43133</v>
      </c>
      <c r="B28" s="14">
        <f>WEEKNUM(A28)</f>
        <v>5</v>
      </c>
      <c r="C28" s="23">
        <v>2</v>
      </c>
      <c r="D28" s="20">
        <f>C28/4</f>
        <v>0.5</v>
      </c>
      <c r="E28" s="9" t="s">
        <v>6</v>
      </c>
      <c r="F28" s="10" t="s">
        <v>20</v>
      </c>
      <c r="G28" s="10" t="s">
        <v>44</v>
      </c>
      <c r="J28" s="11"/>
    </row>
    <row r="29" spans="1:10" x14ac:dyDescent="0.2">
      <c r="A29" s="17">
        <v>43133</v>
      </c>
      <c r="B29" s="14">
        <f>WEEKNUM(A29)</f>
        <v>5</v>
      </c>
      <c r="C29" s="23">
        <v>3</v>
      </c>
      <c r="D29" s="20">
        <f>C29/4</f>
        <v>0.75</v>
      </c>
      <c r="E29" s="9" t="s">
        <v>6</v>
      </c>
      <c r="F29" s="10" t="s">
        <v>21</v>
      </c>
      <c r="G29" s="10"/>
      <c r="J29" s="11"/>
    </row>
    <row r="30" spans="1:10" x14ac:dyDescent="0.2">
      <c r="A30" s="17">
        <v>43132</v>
      </c>
      <c r="B30" s="14">
        <f>WEEKNUM(A30)</f>
        <v>5</v>
      </c>
      <c r="C30" s="23">
        <v>0</v>
      </c>
      <c r="D30" s="20">
        <f>C30/4</f>
        <v>0</v>
      </c>
      <c r="E30" s="9" t="s">
        <v>6</v>
      </c>
      <c r="F30" s="10" t="s">
        <v>14</v>
      </c>
      <c r="G30" s="10" t="s">
        <v>41</v>
      </c>
      <c r="J30" s="11"/>
    </row>
    <row r="31" spans="1:10" x14ac:dyDescent="0.2">
      <c r="A31" s="17">
        <v>43132</v>
      </c>
      <c r="B31" s="14">
        <f>WEEKNUM(A31)</f>
        <v>5</v>
      </c>
      <c r="C31" s="23">
        <v>1</v>
      </c>
      <c r="D31" s="20">
        <f>C31/4</f>
        <v>0.25</v>
      </c>
      <c r="E31" s="9" t="s">
        <v>9</v>
      </c>
      <c r="F31" s="10" t="s">
        <v>15</v>
      </c>
      <c r="G31" s="10" t="s">
        <v>42</v>
      </c>
      <c r="J31" s="11"/>
    </row>
    <row r="32" spans="1:10" x14ac:dyDescent="0.2">
      <c r="A32" s="17">
        <v>43132</v>
      </c>
      <c r="B32" s="14">
        <f>WEEKNUM(A32)</f>
        <v>5</v>
      </c>
      <c r="C32" s="23">
        <v>8</v>
      </c>
      <c r="D32" s="20">
        <f>C32/4</f>
        <v>2</v>
      </c>
      <c r="E32" s="9" t="s">
        <v>6</v>
      </c>
      <c r="F32" s="10" t="s">
        <v>16</v>
      </c>
      <c r="G32" s="10" t="s">
        <v>43</v>
      </c>
      <c r="J32" s="11"/>
    </row>
    <row r="33" spans="1:10" x14ac:dyDescent="0.2">
      <c r="A33" s="17">
        <v>43132</v>
      </c>
      <c r="B33" s="14">
        <f>WEEKNUM(A33)</f>
        <v>5</v>
      </c>
      <c r="C33" s="23">
        <v>1</v>
      </c>
      <c r="D33" s="20">
        <f>C33/4</f>
        <v>0.25</v>
      </c>
      <c r="E33" s="9" t="s">
        <v>9</v>
      </c>
      <c r="F33" s="10" t="s">
        <v>17</v>
      </c>
      <c r="G33" s="10"/>
      <c r="J33" s="11"/>
    </row>
    <row r="34" spans="1:10" x14ac:dyDescent="0.2">
      <c r="A34" s="17">
        <v>43132</v>
      </c>
      <c r="B34" s="14">
        <f>WEEKNUM(A34)</f>
        <v>5</v>
      </c>
      <c r="C34" s="23">
        <v>1</v>
      </c>
      <c r="D34" s="20">
        <f>C34/4</f>
        <v>0.25</v>
      </c>
      <c r="E34" s="9" t="s">
        <v>6</v>
      </c>
      <c r="F34" s="10" t="s">
        <v>18</v>
      </c>
      <c r="G34" s="10"/>
      <c r="J34" s="11"/>
    </row>
    <row r="35" spans="1:10" x14ac:dyDescent="0.2">
      <c r="A35" s="17">
        <v>43132</v>
      </c>
      <c r="B35" s="14">
        <f>WEEKNUM(A35)</f>
        <v>5</v>
      </c>
      <c r="C35" s="23">
        <v>1</v>
      </c>
      <c r="D35" s="20">
        <f>C35/4</f>
        <v>0.25</v>
      </c>
      <c r="E35" s="9" t="s">
        <v>6</v>
      </c>
      <c r="F35" s="10" t="s">
        <v>19</v>
      </c>
      <c r="G35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50800</xdr:colOff>
                    <xdr:row>0</xdr:row>
                    <xdr:rowOff>25400</xdr:rowOff>
                  </from>
                  <to>
                    <xdr:col>5</xdr:col>
                    <xdr:colOff>330200</xdr:colOff>
                    <xdr:row>0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3:F17"/>
  <sheetViews>
    <sheetView workbookViewId="0">
      <selection activeCell="B10" sqref="B10"/>
    </sheetView>
  </sheetViews>
  <sheetFormatPr baseColWidth="10" defaultRowHeight="15" x14ac:dyDescent="0.2"/>
  <cols>
    <col min="1" max="1" width="17.1640625" bestFit="1" customWidth="1"/>
    <col min="2" max="2" width="13" bestFit="1" customWidth="1"/>
    <col min="3" max="3" width="13.33203125" bestFit="1" customWidth="1"/>
    <col min="4" max="4" width="7" bestFit="1" customWidth="1"/>
    <col min="5" max="5" width="7.5" bestFit="1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6" x14ac:dyDescent="0.2">
      <c r="A3" s="3" t="s">
        <v>13</v>
      </c>
    </row>
    <row r="4" spans="1:6" x14ac:dyDescent="0.2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">
      <c r="A5" s="4">
        <v>43132</v>
      </c>
      <c r="B5" s="25">
        <v>0.5</v>
      </c>
      <c r="C5" s="25"/>
      <c r="D5" s="25">
        <v>2.5</v>
      </c>
      <c r="E5" s="25"/>
      <c r="F5" s="25">
        <v>3</v>
      </c>
    </row>
    <row r="6" spans="1:6" x14ac:dyDescent="0.2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">
      <c r="A16" s="4">
        <v>43161</v>
      </c>
      <c r="B16" s="25"/>
      <c r="C16" s="25">
        <v>0.75</v>
      </c>
      <c r="D16" s="25">
        <v>1.25</v>
      </c>
      <c r="E16" s="25"/>
      <c r="F16" s="25">
        <v>2</v>
      </c>
    </row>
    <row r="17" spans="1:6" x14ac:dyDescent="0.2">
      <c r="A17" s="4" t="s">
        <v>11</v>
      </c>
      <c r="B17" s="25">
        <v>0.5</v>
      </c>
      <c r="C17" s="25">
        <v>6</v>
      </c>
      <c r="D17" s="25">
        <v>25.75</v>
      </c>
      <c r="E17" s="25">
        <v>6</v>
      </c>
      <c r="F17" s="25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A6"/>
  <sheetViews>
    <sheetView workbookViewId="0">
      <selection activeCell="B18" sqref="B18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5</v>
      </c>
    </row>
    <row r="2" spans="1:1" x14ac:dyDescent="0.2">
      <c r="A2" s="1" t="s">
        <v>6</v>
      </c>
    </row>
    <row r="3" spans="1:1" x14ac:dyDescent="0.2">
      <c r="A3" s="1" t="s">
        <v>7</v>
      </c>
    </row>
    <row r="4" spans="1:1" x14ac:dyDescent="0.2">
      <c r="A4" s="1" t="s">
        <v>8</v>
      </c>
    </row>
    <row r="5" spans="1:1" x14ac:dyDescent="0.2">
      <c r="A5" s="1" t="s">
        <v>9</v>
      </c>
    </row>
    <row r="6" spans="1:1" x14ac:dyDescent="0.2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2018-03-04T10:46:30Z</dcterms:modified>
</cp:coreProperties>
</file>