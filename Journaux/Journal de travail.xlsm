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279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" i="1" l="1"/>
  <c r="B33" i="1"/>
  <c r="B34" i="1" l="1"/>
  <c r="B35" i="1"/>
  <c r="B28" i="1" l="1"/>
  <c r="B3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3" i="1"/>
  <c r="B22" i="1"/>
  <c r="B24" i="1"/>
  <c r="B25" i="1"/>
  <c r="B26" i="1"/>
  <c r="B27" i="1"/>
  <c r="B29" i="1"/>
  <c r="B30" i="1"/>
</calcChain>
</file>

<file path=xl/sharedStrings.xml><?xml version="1.0" encoding="utf-8"?>
<sst xmlns="http://schemas.openxmlformats.org/spreadsheetml/2006/main" count="99" uniqueCount="57">
  <si>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</si>
  <si>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</si>
  <si>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</si>
  <si>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</si>
  <si>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</si>
  <si>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</si>
  <si>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</si>
  <si>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</si>
  <si>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</si>
  <si>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</si>
  <si>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</si>
  <si>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</si>
  <si>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</si>
  <si>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</si>
  <si>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</si>
  <si>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</si>
  <si>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</si>
  <si>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</si>
  <si>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</si>
  <si>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</si>
  <si>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</si>
  <si>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</si>
  <si>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</si>
  <si>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</si>
  <si>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</si>
  <si>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</si>
  <si>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</si>
  <si>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</si>
  <si>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</si>
  <si>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</si>
  <si>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</si>
  <si>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</si>
  <si>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</si>
  <si>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</si>
  <si>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</si>
  <si>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</si>
  <si>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</si>
  <si>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</si>
  <si>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</si>
  <si>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</si>
  <si>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</si>
  <si>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</si>
  <si>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</si>
  <si>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</si>
  <si>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</si>
  <si>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</si>
  <si>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</si>
  <si>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</si>
  <si>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</si>
  <si>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</si>
  <si>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</si>
  <si>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</si>
  <si>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</si>
  <si>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</si>
  <si>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</si>
  <si>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</si>
  <si>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Beaucoup de retard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</si>
</sst>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/>
  </cellXfs>
  <cellStyles count="1">
    <cellStyle name="Normal" xfId="0" builtinId="0"/>
  </cellStyles>
  <dxfs count="3">
    <dxf>
      <numFmt numFmtId="165" formatCode="[$-F400]h:mm:ss\ AM/PM"/>
    </dxf>
    <dxf>
      <numFmt numFmtId="0" formatCode="General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1.467599537034" createdVersion="4" refreshedVersion="6" minRefreshableVersion="3" recordCount="29">
  <cacheSource type="worksheet">
    <worksheetSource ref="A1:D34" sheet="Journal"/>
  </cacheSource>
  <cacheFields count="4">
    <cacheField name="Jour" numFmtId="164">
      <sharedItems containsSemiMixedTypes="0" containsNonDate="0" containsDate="1" containsString="0" minDate="2018-01-01T00:00:00" maxDate="2018-03-02T00:00:00" count="12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h]" numFmtId="165">
      <sharedItems containsSemiMixedTypes="0" containsNonDate="0" containsDate="1" containsString="0" minDate="1899-12-30T00:00:00" maxDate="1899-12-31T00:00:00"/>
    </cacheField>
    <cacheField name="Type" numFmtId="0">
      <sharedItems count="5">
        <s v="Analyse"/>
        <s v="Documentation"/>
        <s v="Absenc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n v="5"/>
    <d v="1899-12-30T00:00:00"/>
    <x v="0"/>
  </r>
  <r>
    <x v="0"/>
    <n v="5"/>
    <d v="1899-12-30T00:20:00"/>
    <x v="1"/>
  </r>
  <r>
    <x v="0"/>
    <n v="5"/>
    <d v="1899-12-30T02:00:00"/>
    <x v="0"/>
  </r>
  <r>
    <x v="0"/>
    <n v="5"/>
    <d v="1899-12-30T00:10:00"/>
    <x v="1"/>
  </r>
  <r>
    <x v="0"/>
    <n v="5"/>
    <d v="1899-12-30T00:20:00"/>
    <x v="0"/>
  </r>
  <r>
    <x v="0"/>
    <n v="5"/>
    <d v="1899-12-30T00:10:00"/>
    <x v="0"/>
  </r>
  <r>
    <x v="1"/>
    <n v="5"/>
    <d v="1899-12-30T00:30:00"/>
    <x v="0"/>
  </r>
  <r>
    <x v="1"/>
    <n v="5"/>
    <d v="1899-12-30T00:45:00"/>
    <x v="0"/>
  </r>
  <r>
    <x v="2"/>
    <n v="6"/>
    <d v="1899-12-30T00:20:00"/>
    <x v="0"/>
  </r>
  <r>
    <x v="2"/>
    <n v="6"/>
    <d v="1899-12-30T00:10:00"/>
    <x v="0"/>
  </r>
  <r>
    <x v="2"/>
    <n v="6"/>
    <d v="1899-12-30T00:15:00"/>
    <x v="0"/>
  </r>
  <r>
    <x v="2"/>
    <n v="6"/>
    <d v="1899-12-30T03:00:00"/>
    <x v="2"/>
  </r>
  <r>
    <x v="3"/>
    <n v="6"/>
    <d v="1899-12-30T00:30:00"/>
    <x v="0"/>
  </r>
  <r>
    <x v="3"/>
    <n v="6"/>
    <d v="1899-12-30T00:05:00"/>
    <x v="0"/>
  </r>
  <r>
    <x v="3"/>
    <n v="6"/>
    <d v="1899-12-30T02:15:00"/>
    <x v="0"/>
  </r>
  <r>
    <x v="3"/>
    <n v="6"/>
    <d v="1899-12-30T00:45:00"/>
    <x v="0"/>
  </r>
  <r>
    <x v="3"/>
    <n v="6"/>
    <d v="1899-12-30T01:30:00"/>
    <x v="0"/>
  </r>
  <r>
    <x v="3"/>
    <n v="6"/>
    <d v="1899-12-30T00:30:00"/>
    <x v="0"/>
  </r>
  <r>
    <x v="3"/>
    <n v="6"/>
    <d v="1899-12-30T00:45:00"/>
    <x v="0"/>
  </r>
  <r>
    <x v="4"/>
    <n v="6"/>
    <d v="1899-12-30T01:30:00"/>
    <x v="0"/>
  </r>
  <r>
    <x v="5"/>
    <n v="7"/>
    <d v="1899-12-30T02:15:00"/>
    <x v="0"/>
  </r>
  <r>
    <x v="6"/>
    <n v="7"/>
    <d v="1899-12-30T01:30:00"/>
    <x v="2"/>
  </r>
  <r>
    <x v="7"/>
    <n v="7"/>
    <d v="1899-12-30T03:45:00"/>
    <x v="0"/>
  </r>
  <r>
    <x v="7"/>
    <n v="7"/>
    <d v="1899-12-30T02:15:00"/>
    <x v="0"/>
  </r>
  <r>
    <x v="8"/>
    <n v="7"/>
    <d v="1899-12-30T02:15:00"/>
    <x v="0"/>
  </r>
  <r>
    <x v="9"/>
    <n v="9"/>
    <d v="1899-12-30T02:15:00"/>
    <x v="0"/>
  </r>
  <r>
    <x v="10"/>
    <n v="9"/>
    <d v="1899-12-30T01:30:00"/>
    <x v="2"/>
  </r>
  <r>
    <x v="10"/>
    <n v="9"/>
    <d v="1899-12-30T03:00:00"/>
    <x v="0"/>
  </r>
  <r>
    <x v="10"/>
    <n v="9"/>
    <d v="1899-12-30T01:3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6" firstHeaderRow="1" firstDataRow="2" firstDataCol="1"/>
  <pivotFields count="4">
    <pivotField axis="axisRow" numFmtId="16" showAll="0">
      <items count="13">
        <item m="1" x="11"/>
        <item x="0"/>
        <item x="1"/>
        <item x="2"/>
        <item x="3"/>
        <item x="4"/>
        <item x="6"/>
        <item x="5"/>
        <item x="7"/>
        <item x="8"/>
        <item x="9"/>
        <item x="10"/>
        <item t="default"/>
      </items>
    </pivotField>
    <pivotField showAll="0"/>
    <pivotField dataField="1" showAll="0"/>
    <pivotField axis="axisCol" showAll="0">
      <items count="6">
        <item x="1"/>
        <item m="1" x="4"/>
        <item x="0"/>
        <item m="1" x="3"/>
        <item x="2"/>
        <item t="default"/>
      </items>
    </pivotField>
  </pivotFields>
  <rowFields count="1"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3"/>
  </colFields>
  <colItems count="4">
    <i>
      <x/>
    </i>
    <i>
      <x v="2"/>
    </i>
    <i>
      <x v="4"/>
    </i>
    <i t="grand">
      <x/>
    </i>
  </colItems>
  <dataFields count="1">
    <dataField name="Somme de Temps [h]" fld="2" baseField="0" baseItem="0" numFmtId="165"/>
  </dataFields>
  <formats count="3"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5"/>
  <sheetViews>
    <sheetView tabSelected="1" topLeftCell="A19" workbookViewId="0">
      <selection activeCell="E29" sqref="E2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1" customWidth="1"/>
    <col min="4" max="4" width="16" style="6" customWidth="1"/>
    <col min="5" max="5" width="84.85546875" style="12" bestFit="1" customWidth="1"/>
    <col min="6" max="6" width="75.140625" style="12" customWidth="1"/>
    <col min="7" max="16384" width="9.140625" style="8"/>
  </cols>
  <sheetData>
    <row r="1" spans="1:9" ht="24" customHeight="1" x14ac:dyDescent="0.25">
      <c r="A1" s="17" t="s">
        <v>2</v>
      </c>
      <c r="B1" s="13" t="s">
        <v>12</v>
      </c>
      <c r="C1" s="19" t="s">
        <v>3</v>
      </c>
      <c r="D1" s="5" t="s">
        <v>4</v>
      </c>
      <c r="E1" s="7" t="s">
        <v>0</v>
      </c>
      <c r="F1" s="7" t="s">
        <v>1</v>
      </c>
    </row>
    <row r="2" spans="1:9" x14ac:dyDescent="0.25">
      <c r="A2" s="16">
        <v>43132</v>
      </c>
      <c r="B2" s="14">
        <f>WEEKNUM(A2)</f>
        <v>5</v>
      </c>
      <c r="C2" s="20">
        <v>0</v>
      </c>
      <c r="D2" s="9" t="s">
        <v>6</v>
      </c>
      <c r="E2" s="10" t="s">
        <v>14</v>
      </c>
      <c r="F2" s="10" t="s">
        <v>41</v>
      </c>
      <c r="I2" s="11"/>
    </row>
    <row r="3" spans="1:9" x14ac:dyDescent="0.25">
      <c r="A3" s="16">
        <v>43132</v>
      </c>
      <c r="B3" s="14">
        <f>WEEKNUM(A3)</f>
        <v>5</v>
      </c>
      <c r="C3" s="20">
        <v>1.3888888888888888E-2</v>
      </c>
      <c r="D3" s="9" t="s">
        <v>9</v>
      </c>
      <c r="E3" s="10" t="s">
        <v>15</v>
      </c>
      <c r="F3" s="10" t="s">
        <v>42</v>
      </c>
      <c r="I3" s="11"/>
    </row>
    <row r="4" spans="1:9" x14ac:dyDescent="0.25">
      <c r="A4" s="16">
        <v>43132</v>
      </c>
      <c r="B4" s="14">
        <f>WEEKNUM(A4)</f>
        <v>5</v>
      </c>
      <c r="C4" s="20">
        <v>8.3333333333333329E-2</v>
      </c>
      <c r="D4" s="9" t="s">
        <v>6</v>
      </c>
      <c r="E4" s="10" t="s">
        <v>16</v>
      </c>
      <c r="F4" s="10" t="s">
        <v>43</v>
      </c>
      <c r="I4" s="11"/>
    </row>
    <row r="5" spans="1:9" x14ac:dyDescent="0.25">
      <c r="A5" s="16">
        <v>43132</v>
      </c>
      <c r="B5" s="14">
        <f>WEEKNUM(A5)</f>
        <v>5</v>
      </c>
      <c r="C5" s="20">
        <v>6.9444444444444441E-3</v>
      </c>
      <c r="D5" s="9" t="s">
        <v>9</v>
      </c>
      <c r="E5" s="10" t="s">
        <v>17</v>
      </c>
      <c r="F5" s="10"/>
      <c r="I5" s="11"/>
    </row>
    <row r="6" spans="1:9" x14ac:dyDescent="0.25">
      <c r="A6" s="16">
        <v>43132</v>
      </c>
      <c r="B6" s="14">
        <f>WEEKNUM(A6)</f>
        <v>5</v>
      </c>
      <c r="C6" s="20">
        <v>1.3888888888888888E-2</v>
      </c>
      <c r="D6" s="9" t="s">
        <v>6</v>
      </c>
      <c r="E6" s="10" t="s">
        <v>18</v>
      </c>
      <c r="F6" s="10"/>
      <c r="I6" s="11"/>
    </row>
    <row r="7" spans="1:9" x14ac:dyDescent="0.25">
      <c r="A7" s="16">
        <v>43132</v>
      </c>
      <c r="B7" s="14">
        <f>WEEKNUM(A7)</f>
        <v>5</v>
      </c>
      <c r="C7" s="20">
        <v>6.9444444444444441E-3</v>
      </c>
      <c r="D7" s="9" t="s">
        <v>6</v>
      </c>
      <c r="E7" s="10" t="s">
        <v>19</v>
      </c>
      <c r="F7" s="10"/>
      <c r="I7" s="11"/>
    </row>
    <row r="8" spans="1:9" x14ac:dyDescent="0.25">
      <c r="A8" s="16">
        <v>43133</v>
      </c>
      <c r="B8" s="14">
        <f>WEEKNUM(A8)</f>
        <v>5</v>
      </c>
      <c r="C8" s="20">
        <v>2.0833333333333332E-2</v>
      </c>
      <c r="D8" s="9" t="s">
        <v>6</v>
      </c>
      <c r="E8" s="10" t="s">
        <v>20</v>
      </c>
      <c r="F8" s="10" t="s">
        <v>44</v>
      </c>
      <c r="I8" s="11"/>
    </row>
    <row r="9" spans="1:9" x14ac:dyDescent="0.25">
      <c r="A9" s="16">
        <v>43133</v>
      </c>
      <c r="B9" s="14">
        <f>WEEKNUM(A9)</f>
        <v>5</v>
      </c>
      <c r="C9" s="20">
        <v>3.125E-2</v>
      </c>
      <c r="D9" s="9" t="s">
        <v>6</v>
      </c>
      <c r="E9" s="10" t="s">
        <v>21</v>
      </c>
      <c r="F9" s="10"/>
      <c r="I9" s="11"/>
    </row>
    <row r="10" spans="1:9" x14ac:dyDescent="0.25">
      <c r="A10" s="16">
        <v>43137</v>
      </c>
      <c r="B10" s="14">
        <f>WEEKNUM(A10)</f>
        <v>6</v>
      </c>
      <c r="C10" s="20">
        <v>1.3888888888888888E-2</v>
      </c>
      <c r="D10" s="9" t="s">
        <v>6</v>
      </c>
      <c r="E10" s="10" t="s">
        <v>22</v>
      </c>
      <c r="F10" s="10" t="s">
        <v>45</v>
      </c>
      <c r="I10" s="11"/>
    </row>
    <row r="11" spans="1:9" x14ac:dyDescent="0.25">
      <c r="A11" s="16">
        <v>43137</v>
      </c>
      <c r="B11" s="14">
        <f>WEEKNUM(A11)</f>
        <v>6</v>
      </c>
      <c r="C11" s="20">
        <v>6.9444444444444441E-3</v>
      </c>
      <c r="D11" s="9" t="s">
        <v>6</v>
      </c>
      <c r="E11" s="10" t="s">
        <v>23</v>
      </c>
      <c r="F11" s="10"/>
      <c r="I11" s="11"/>
    </row>
    <row r="12" spans="1:9" x14ac:dyDescent="0.25">
      <c r="A12" s="16">
        <v>43137</v>
      </c>
      <c r="B12" s="14">
        <f>WEEKNUM(A12)</f>
        <v>6</v>
      </c>
      <c r="C12" s="20">
        <v>1.0416666666666666E-2</v>
      </c>
      <c r="D12" s="9" t="s">
        <v>6</v>
      </c>
      <c r="E12" s="10" t="s">
        <v>24</v>
      </c>
      <c r="F12" s="10" t="s">
        <v>46</v>
      </c>
      <c r="I12" s="11"/>
    </row>
    <row r="13" spans="1:9" x14ac:dyDescent="0.25">
      <c r="A13" s="16">
        <v>43137</v>
      </c>
      <c r="B13" s="14">
        <f>WEEKNUM(A13)</f>
        <v>6</v>
      </c>
      <c r="C13" s="20">
        <v>0.125</v>
      </c>
      <c r="D13" s="9" t="s">
        <v>10</v>
      </c>
      <c r="E13" s="10" t="s">
        <v>25</v>
      </c>
      <c r="F13" s="10"/>
      <c r="I13" s="11"/>
    </row>
    <row r="14" spans="1:9" x14ac:dyDescent="0.25">
      <c r="A14" s="16">
        <v>43139</v>
      </c>
      <c r="B14" s="14">
        <f>WEEKNUM(A14)</f>
        <v>6</v>
      </c>
      <c r="C14" s="20">
        <v>2.0833333333333332E-2</v>
      </c>
      <c r="D14" s="9" t="s">
        <v>6</v>
      </c>
      <c r="E14" s="10" t="s">
        <v>26</v>
      </c>
      <c r="F14" s="10" t="s">
        <v>47</v>
      </c>
      <c r="I14" s="11"/>
    </row>
    <row r="15" spans="1:9" x14ac:dyDescent="0.25">
      <c r="A15" s="16">
        <v>43139</v>
      </c>
      <c r="B15" s="14">
        <f>WEEKNUM(A15)</f>
        <v>6</v>
      </c>
      <c r="C15" s="20">
        <v>3.472222222222222E-3</v>
      </c>
      <c r="D15" s="9" t="s">
        <v>6</v>
      </c>
      <c r="E15" s="10" t="s">
        <v>27</v>
      </c>
      <c r="F15" s="10"/>
      <c r="I15" s="11"/>
    </row>
    <row r="16" spans="1:9" x14ac:dyDescent="0.25">
      <c r="A16" s="16">
        <v>43139</v>
      </c>
      <c r="B16" s="14">
        <f>WEEKNUM(A16)</f>
        <v>6</v>
      </c>
      <c r="C16" s="20">
        <v>9.375E-2</v>
      </c>
      <c r="D16" s="9" t="s">
        <v>6</v>
      </c>
      <c r="E16" s="10" t="s">
        <v>28</v>
      </c>
      <c r="F16" s="10"/>
      <c r="I16" s="11"/>
    </row>
    <row r="17" spans="1:9" x14ac:dyDescent="0.25">
      <c r="A17" s="16">
        <v>43139</v>
      </c>
      <c r="B17" s="14">
        <f>WEEKNUM(A17)</f>
        <v>6</v>
      </c>
      <c r="C17" s="20">
        <v>3.125E-2</v>
      </c>
      <c r="D17" s="9" t="s">
        <v>6</v>
      </c>
      <c r="E17" s="10" t="s">
        <v>29</v>
      </c>
      <c r="F17" s="10"/>
      <c r="I17" s="11"/>
    </row>
    <row r="18" spans="1:9" x14ac:dyDescent="0.25">
      <c r="A18" s="16">
        <v>43139</v>
      </c>
      <c r="B18" s="14">
        <f>WEEKNUM(A18)</f>
        <v>6</v>
      </c>
      <c r="C18" s="20">
        <v>6.25E-2</v>
      </c>
      <c r="D18" s="9" t="s">
        <v>6</v>
      </c>
      <c r="E18" s="10" t="s">
        <v>30</v>
      </c>
      <c r="F18" s="10"/>
      <c r="I18" s="11"/>
    </row>
    <row r="19" spans="1:9" x14ac:dyDescent="0.25">
      <c r="A19" s="16">
        <v>43139</v>
      </c>
      <c r="B19" s="14">
        <f>WEEKNUM(A19)</f>
        <v>6</v>
      </c>
      <c r="C19" s="20">
        <v>2.0833333333333332E-2</v>
      </c>
      <c r="D19" s="9" t="s">
        <v>6</v>
      </c>
      <c r="E19" s="10" t="s">
        <v>31</v>
      </c>
      <c r="F19" s="10"/>
      <c r="I19" s="11"/>
    </row>
    <row r="20" spans="1:9" x14ac:dyDescent="0.25">
      <c r="A20" s="16">
        <v>43139</v>
      </c>
      <c r="B20" s="14">
        <f>WEEKNUM(A20)</f>
        <v>6</v>
      </c>
      <c r="C20" s="20">
        <v>3.125E-2</v>
      </c>
      <c r="D20" s="9" t="s">
        <v>6</v>
      </c>
      <c r="E20" s="10" t="s">
        <v>32</v>
      </c>
      <c r="F20" s="10"/>
      <c r="I20" s="11"/>
    </row>
    <row r="21" spans="1:9" x14ac:dyDescent="0.25">
      <c r="A21" s="16">
        <v>43140</v>
      </c>
      <c r="B21" s="14">
        <f>WEEKNUM(A21)</f>
        <v>6</v>
      </c>
      <c r="C21" s="20">
        <v>6.25E-2</v>
      </c>
      <c r="D21" s="9" t="s">
        <v>6</v>
      </c>
      <c r="E21" s="10" t="s">
        <v>33</v>
      </c>
      <c r="F21" s="10"/>
      <c r="I21" s="11"/>
    </row>
    <row r="22" spans="1:9" x14ac:dyDescent="0.25">
      <c r="A22" s="16">
        <v>43143</v>
      </c>
      <c r="B22" s="14">
        <f>WEEKNUM(A22)</f>
        <v>7</v>
      </c>
      <c r="C22" s="20">
        <v>9.375E-2</v>
      </c>
      <c r="D22" s="9" t="s">
        <v>6</v>
      </c>
      <c r="E22" s="10" t="s">
        <v>35</v>
      </c>
      <c r="F22" s="10" t="s">
        <v>48</v>
      </c>
      <c r="I22" s="11"/>
    </row>
    <row r="23" spans="1:9" x14ac:dyDescent="0.25">
      <c r="A23" s="16">
        <v>43144</v>
      </c>
      <c r="B23" s="14">
        <f>WEEKNUM(A23)</f>
        <v>7</v>
      </c>
      <c r="C23" s="20">
        <v>6.25E-2</v>
      </c>
      <c r="D23" s="9" t="s">
        <v>10</v>
      </c>
      <c r="E23" s="10" t="s">
        <v>34</v>
      </c>
      <c r="F23" s="10"/>
      <c r="I23" s="11"/>
    </row>
    <row r="24" spans="1:9" ht="45" x14ac:dyDescent="0.25">
      <c r="A24" s="16">
        <v>43146</v>
      </c>
      <c r="B24" s="14">
        <f>WEEKNUM(A24)</f>
        <v>7</v>
      </c>
      <c r="C24" s="20">
        <v>0.15625</v>
      </c>
      <c r="D24" s="9" t="s">
        <v>6</v>
      </c>
      <c r="E24" s="10" t="s">
        <v>36</v>
      </c>
      <c r="F24" s="10"/>
      <c r="I24" s="11"/>
    </row>
    <row r="25" spans="1:9" x14ac:dyDescent="0.25">
      <c r="A25" s="16">
        <v>43146</v>
      </c>
      <c r="B25" s="14">
        <f>WEEKNUM(A25)</f>
        <v>7</v>
      </c>
      <c r="C25" s="20">
        <v>9.375E-2</v>
      </c>
      <c r="D25" s="9" t="s">
        <v>6</v>
      </c>
      <c r="E25" s="10" t="s">
        <v>37</v>
      </c>
      <c r="F25" s="10"/>
      <c r="I25" s="11"/>
    </row>
    <row r="26" spans="1:9" ht="30" x14ac:dyDescent="0.25">
      <c r="A26" s="16">
        <v>43147</v>
      </c>
      <c r="B26" s="14">
        <f>WEEKNUM(A26)</f>
        <v>7</v>
      </c>
      <c r="C26" s="20">
        <v>9.375E-2</v>
      </c>
      <c r="D26" s="9" t="s">
        <v>7</v>
      </c>
      <c r="E26" s="10" t="s">
        <v>38</v>
      </c>
      <c r="F26" s="10" t="s">
        <v>49</v>
      </c>
      <c r="I26" s="11"/>
    </row>
    <row r="27" spans="1:9" x14ac:dyDescent="0.25">
      <c r="A27" s="16">
        <v>43158</v>
      </c>
      <c r="B27" s="14">
        <f>WEEKNUM(A27)</f>
        <v>9</v>
      </c>
      <c r="C27" s="20">
        <v>9.375E-2</v>
      </c>
      <c r="D27" s="9" t="s">
        <v>6</v>
      </c>
      <c r="E27" s="10" t="s">
        <v>39</v>
      </c>
      <c r="F27" s="10"/>
      <c r="I27" s="11"/>
    </row>
    <row r="28" spans="1:9" ht="30" x14ac:dyDescent="0.25">
      <c r="A28" s="16">
        <v>43160</v>
      </c>
      <c r="B28" s="14">
        <f>WEEKNUM(A28)</f>
        <v>9</v>
      </c>
      <c r="C28" s="20">
        <v>6.25E-2</v>
      </c>
      <c r="D28" s="9" t="s">
        <v>10</v>
      </c>
      <c r="E28" s="10" t="s">
        <v>25</v>
      </c>
      <c r="F28" s="10"/>
      <c r="I28" s="11"/>
    </row>
    <row r="29" spans="1:9" ht="30" x14ac:dyDescent="0.25">
      <c r="A29" s="16">
        <v>43160</v>
      </c>
      <c r="B29" s="14">
        <f>WEEKNUM(A29)</f>
        <v>9</v>
      </c>
      <c r="C29" s="20">
        <v>0.125</v>
      </c>
      <c r="D29" s="9" t="s">
        <v>7</v>
      </c>
      <c r="E29" s="10" t="s">
        <v>38</v>
      </c>
      <c r="F29" s="10" t="s">
        <v>50</v>
      </c>
      <c r="I29" s="11"/>
    </row>
    <row r="30" spans="1:9" ht="30" x14ac:dyDescent="0.25">
      <c r="A30" s="16">
        <v>43160</v>
      </c>
      <c r="B30" s="14">
        <f>WEEKNUM(A30)</f>
        <v>9</v>
      </c>
      <c r="C30" s="20">
        <v>6.25E-2</v>
      </c>
      <c r="D30" s="9" t="s">
        <v>6</v>
      </c>
      <c r="E30" s="10" t="s">
        <v>40</v>
      </c>
      <c r="F30" s="10" t="s">
        <v>51</v>
      </c>
      <c r="I30" s="11"/>
    </row>
    <row r="31" spans="1:9" x14ac:dyDescent="0.25">
      <c r="A31" s="16">
        <v>43160</v>
      </c>
      <c r="B31" s="14">
        <f>WEEKNUM(A31)</f>
        <v>9</v>
      </c>
      <c r="C31" s="20">
        <v>6.25E-2</v>
      </c>
      <c r="D31" s="9" t="s">
        <v>10</v>
      </c>
      <c r="E31" s="10" t="s">
        <v>25</v>
      </c>
      <c r="F31" s="10"/>
      <c r="I31" s="11"/>
    </row>
    <row r="32" spans="1:9" x14ac:dyDescent="0.25">
      <c r="A32" s="16">
        <v>43161</v>
      </c>
      <c r="B32" s="14">
        <f>WEEKNUM(A32)</f>
        <v>9</v>
      </c>
      <c r="C32" s="20">
        <v>3.125E-2</v>
      </c>
      <c r="D32" s="9" t="s">
        <v>7</v>
      </c>
      <c r="E32" s="10" t="s">
        <v>55</v>
      </c>
      <c r="F32" s="10" t="s">
        <v>56</v>
      </c>
      <c r="I32" s="11"/>
    </row>
    <row r="33" spans="1:9" x14ac:dyDescent="0.25">
      <c r="A33" s="16">
        <v>43161</v>
      </c>
      <c r="B33" s="14">
        <f>WEEKNUM(A33)</f>
        <v>9</v>
      </c>
      <c r="C33" s="20">
        <v>2.0833333333333332E-2</v>
      </c>
      <c r="D33" s="9" t="s">
        <v>6</v>
      </c>
      <c r="E33" s="10" t="s">
        <v>54</v>
      </c>
      <c r="F33" s="10"/>
      <c r="I33" s="11"/>
    </row>
    <row r="34" spans="1:9" x14ac:dyDescent="0.25">
      <c r="A34" s="16">
        <v>43161</v>
      </c>
      <c r="B34" s="14">
        <f>WEEKNUM(A34)</f>
        <v>9</v>
      </c>
      <c r="C34" s="20">
        <v>3.125E-2</v>
      </c>
      <c r="D34" s="9" t="s">
        <v>6</v>
      </c>
      <c r="E34" s="10" t="s">
        <v>54</v>
      </c>
      <c r="F34" s="10"/>
      <c r="I34" s="11"/>
    </row>
    <row r="35" spans="1:9" x14ac:dyDescent="0.25">
      <c r="A35" s="16">
        <v>43161</v>
      </c>
      <c r="B35" s="14">
        <f>WEEKNUM(A35)</f>
        <v>9</v>
      </c>
      <c r="C35" s="20">
        <v>3.125E-2</v>
      </c>
      <c r="D35" s="9" t="s">
        <v>6</v>
      </c>
      <c r="E35" s="10" t="s">
        <v>52</v>
      </c>
      <c r="F35" s="10" t="s">
        <v>53</v>
      </c>
    </row>
  </sheetData>
  <sheetProtection selectLockedCells="1"/>
  <sortState ref="A2:F35">
    <sortCondition ref="A1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6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.140625" bestFit="1" customWidth="1"/>
    <col min="4" max="4" width="8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3" t="s">
        <v>13</v>
      </c>
    </row>
    <row r="4" spans="1:5" x14ac:dyDescent="0.25">
      <c r="B4" t="s">
        <v>9</v>
      </c>
      <c r="C4" t="s">
        <v>6</v>
      </c>
      <c r="D4" t="s">
        <v>10</v>
      </c>
      <c r="E4" t="s">
        <v>11</v>
      </c>
    </row>
    <row r="5" spans="1:5" x14ac:dyDescent="0.25">
      <c r="A5" s="4">
        <v>43132</v>
      </c>
      <c r="B5" s="22">
        <v>2.0833333333333332E-2</v>
      </c>
      <c r="C5" s="22">
        <v>0.10416666666666666</v>
      </c>
      <c r="D5" s="22"/>
      <c r="E5" s="22">
        <v>0.12499999999999999</v>
      </c>
    </row>
    <row r="6" spans="1:5" x14ac:dyDescent="0.25">
      <c r="A6" s="4">
        <v>43133</v>
      </c>
      <c r="B6" s="22"/>
      <c r="C6" s="22">
        <v>5.2083333333333329E-2</v>
      </c>
      <c r="D6" s="22"/>
      <c r="E6" s="22">
        <v>5.2083333333333329E-2</v>
      </c>
    </row>
    <row r="7" spans="1:5" x14ac:dyDescent="0.25">
      <c r="A7" s="4">
        <v>43137</v>
      </c>
      <c r="B7" s="22"/>
      <c r="C7" s="22">
        <v>3.125E-2</v>
      </c>
      <c r="D7" s="22">
        <v>0.125</v>
      </c>
      <c r="E7" s="22">
        <v>0.15625</v>
      </c>
    </row>
    <row r="8" spans="1:5" x14ac:dyDescent="0.25">
      <c r="A8" s="4">
        <v>43139</v>
      </c>
      <c r="B8" s="22"/>
      <c r="C8" s="22">
        <v>0.2638888888888889</v>
      </c>
      <c r="D8" s="22"/>
      <c r="E8" s="22">
        <v>0.2638888888888889</v>
      </c>
    </row>
    <row r="9" spans="1:5" x14ac:dyDescent="0.25">
      <c r="A9" s="4">
        <v>43140</v>
      </c>
      <c r="B9" s="22"/>
      <c r="C9" s="22">
        <v>6.25E-2</v>
      </c>
      <c r="D9" s="22"/>
      <c r="E9" s="22">
        <v>6.25E-2</v>
      </c>
    </row>
    <row r="10" spans="1:5" x14ac:dyDescent="0.25">
      <c r="A10" s="4">
        <v>43144</v>
      </c>
      <c r="B10" s="22"/>
      <c r="C10" s="22"/>
      <c r="D10" s="22">
        <v>6.25E-2</v>
      </c>
      <c r="E10" s="22">
        <v>6.25E-2</v>
      </c>
    </row>
    <row r="11" spans="1:5" x14ac:dyDescent="0.25">
      <c r="A11" s="4">
        <v>43143</v>
      </c>
      <c r="B11" s="22"/>
      <c r="C11" s="22">
        <v>9.375E-2</v>
      </c>
      <c r="D11" s="22"/>
      <c r="E11" s="22">
        <v>9.375E-2</v>
      </c>
    </row>
    <row r="12" spans="1:5" x14ac:dyDescent="0.25">
      <c r="A12" s="4">
        <v>43146</v>
      </c>
      <c r="B12" s="22"/>
      <c r="C12" s="22">
        <v>0.25</v>
      </c>
      <c r="D12" s="22"/>
      <c r="E12" s="22">
        <v>0.25</v>
      </c>
    </row>
    <row r="13" spans="1:5" x14ac:dyDescent="0.25">
      <c r="A13" s="4">
        <v>43147</v>
      </c>
      <c r="B13" s="22"/>
      <c r="C13" s="22">
        <v>9.375E-2</v>
      </c>
      <c r="D13" s="22"/>
      <c r="E13" s="22">
        <v>9.375E-2</v>
      </c>
    </row>
    <row r="14" spans="1:5" x14ac:dyDescent="0.25">
      <c r="A14" s="4">
        <v>43158</v>
      </c>
      <c r="B14" s="22"/>
      <c r="C14" s="22">
        <v>9.375E-2</v>
      </c>
      <c r="D14" s="22"/>
      <c r="E14" s="22">
        <v>9.375E-2</v>
      </c>
    </row>
    <row r="15" spans="1:5" x14ac:dyDescent="0.25">
      <c r="A15" s="4">
        <v>43160</v>
      </c>
      <c r="B15" s="22"/>
      <c r="C15" s="22">
        <v>0.1875</v>
      </c>
      <c r="D15" s="22">
        <v>6.25E-2</v>
      </c>
      <c r="E15" s="22">
        <v>0.25</v>
      </c>
    </row>
    <row r="16" spans="1:5" x14ac:dyDescent="0.25">
      <c r="A16" s="4" t="s">
        <v>11</v>
      </c>
      <c r="B16" s="22">
        <v>2.0833333333333332E-2</v>
      </c>
      <c r="C16" s="22">
        <v>1.2326388888888888</v>
      </c>
      <c r="D16" s="22">
        <v>0.25</v>
      </c>
      <c r="E16" s="22">
        <v>1.5034722222222223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2018-03-02T13:59:18Z</dcterms:modified>
</cp:coreProperties>
</file>