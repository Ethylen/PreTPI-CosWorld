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93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8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1" l="1"/>
  <c r="B2" i="1"/>
  <c r="D32" i="1"/>
  <c r="D33" i="1"/>
  <c r="D34" i="1"/>
  <c r="D35" i="1"/>
  <c r="D36" i="1"/>
  <c r="D29" i="1"/>
  <c r="D30" i="1"/>
  <c r="D25" i="1"/>
  <c r="D26" i="1"/>
  <c r="D27" i="1"/>
  <c r="D28" i="1"/>
  <c r="D18" i="1"/>
  <c r="D19" i="1"/>
  <c r="D20" i="1"/>
  <c r="D21" i="1"/>
  <c r="D22" i="1"/>
  <c r="D23" i="1"/>
  <c r="D24" i="1"/>
  <c r="D17" i="1"/>
  <c r="D16" i="1"/>
  <c r="D15" i="1"/>
  <c r="D13" i="1"/>
  <c r="D14" i="1"/>
  <c r="D12" i="1"/>
  <c r="D11" i="1"/>
  <c r="D7" i="1"/>
  <c r="D8" i="1"/>
  <c r="D9" i="1"/>
  <c r="D10" i="1"/>
  <c r="D3" i="1"/>
  <c r="D4" i="1"/>
  <c r="D5" i="1"/>
  <c r="D6" i="1"/>
  <c r="D31" i="1"/>
  <c r="B3" i="1"/>
  <c r="B4" i="1"/>
  <c r="B5" i="1"/>
  <c r="B6" i="1"/>
  <c r="B7" i="1"/>
  <c r="B10" i="1"/>
  <c r="B31" i="1"/>
  <c r="B32" i="1"/>
  <c r="B33" i="1"/>
  <c r="B34" i="1"/>
  <c r="B35" i="1"/>
  <c r="B36" i="1"/>
  <c r="B29" i="1"/>
  <c r="B30" i="1"/>
  <c r="B25" i="1"/>
  <c r="B26" i="1"/>
  <c r="B27" i="1"/>
  <c r="B28" i="1"/>
  <c r="B18" i="1"/>
  <c r="B19" i="1"/>
  <c r="B20" i="1"/>
  <c r="B21" i="1"/>
  <c r="B22" i="1"/>
  <c r="B23" i="1"/>
  <c r="B24" i="1"/>
  <c r="B17" i="1"/>
  <c r="B15" i="1"/>
  <c r="B16" i="1"/>
  <c r="B13" i="1"/>
  <c r="B14" i="1"/>
  <c r="B12" i="1"/>
  <c r="B11" i="1"/>
  <c r="B8" i="1"/>
  <c r="B9" i="1"/>
</calcChain>
</file>

<file path=xl/sharedStrings.xml><?xml version="1.0" encoding="utf-8"?>
<sst xmlns="http://schemas.openxmlformats.org/spreadsheetml/2006/main" count="107" uniqueCount="62">
  <si>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</si>
  <si>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</si>
  <si>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</si>
  <si>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</si>
  <si>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</si>
  <si>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</si>
  <si>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</si>
  <si>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</si>
  <si>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</si>
  <si>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</si>
  <si>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</si>
  <si>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</si>
  <si>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</si>
  <si>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</si>
  <si>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Début du projet</t>
  </si>
  <si>
    <t>Création de la documentation</t>
  </si>
  <si>
    <t>Installation et recherche sur le fonctionnement d'Android Studio</t>
  </si>
  <si>
    <t>Création du journal de bord</t>
  </si>
  <si>
    <t>Discussion à propos du cahier des charges</t>
  </si>
  <si>
    <t>Réinitialisation de la tablette</t>
  </si>
  <si>
    <t>Mise en place de la plannification initiale</t>
  </si>
  <si>
    <t>Recherche sur android studio</t>
  </si>
  <si>
    <t>Créationd de compte Trello et Repository Github</t>
  </si>
  <si>
    <t>Modification de la planification initiale</t>
  </si>
  <si>
    <t>Compréhension Github</t>
  </si>
  <si>
    <t>ABSENT</t>
  </si>
  <si>
    <t>Finalisation du Trello</t>
  </si>
  <si>
    <t>Ajout des documents dans Github</t>
  </si>
  <si>
    <t>Création de la maquette + comparaison avec d'autres application</t>
  </si>
  <si>
    <t>Premier jet des maquettes</t>
  </si>
  <si>
    <t>Création des uses cases &amp; scénarios</t>
  </si>
  <si>
    <t>Finition des uses cases &amp; scénarios</t>
  </si>
  <si>
    <t>Création d'un Hello World sous Android Studio</t>
  </si>
  <si>
    <t>Recherche pour que la tablette communique avec l'ordinateur pour installer le Hello World</t>
  </si>
  <si>
    <t xml:space="preserve">ABSENT </t>
  </si>
  <si>
    <t>Hello World</t>
  </si>
  <si>
    <t>Se documenter sur les possibilité pour créer la première interface/ Création d'une première application Android pour prendre en main l'environnement</t>
  </si>
  <si>
    <t xml:space="preserve">Se documenter suite + finition de la première application </t>
  </si>
  <si>
    <t>Création de la première page "accueil"</t>
  </si>
  <si>
    <t>Ecriture de la documentation : ajout des maquettes qui semblaient OK. Révisions des scénarios</t>
  </si>
  <si>
    <t>Explication sur comment faire les uses cases et scénarios avec le CdP</t>
  </si>
  <si>
    <t>N'avait pas encore reçu son CdC</t>
  </si>
  <si>
    <t>Sur la base du caneva fournis</t>
  </si>
  <si>
    <t>Sur les conseils de CdP -&gt; Tablette Android avec batterie vide</t>
  </si>
  <si>
    <t>Quelques modifications suite aux remarques du CdP</t>
  </si>
  <si>
    <t>Suivant les indications du CdP</t>
  </si>
  <si>
    <t>Un peu complexe</t>
  </si>
  <si>
    <t>Ajout des différents sprint, description etc..</t>
  </si>
  <si>
    <t>Bloquée à cause de la communication entre l'ordinateur et la tablette. La version Android de la tablette étant assez veille, il y a eu quelques problèmes de compatibilité</t>
  </si>
  <si>
    <t>Quelques difficulté avec la toolbar, révision de la méthode -&gt; Probablement partir sur une autre mise en page sous AS</t>
  </si>
  <si>
    <t>Aucun résultat probant, continue les recherches</t>
  </si>
  <si>
    <t>Priorité à mettre sur les uses cases</t>
  </si>
  <si>
    <t>Ajustement du journal de travail</t>
  </si>
  <si>
    <t>Queques soucis et modifs persos</t>
  </si>
  <si>
    <t>Modification des uses cases scénarios</t>
  </si>
  <si>
    <t>Continue de travailler sur le sprint 1</t>
  </si>
  <si>
    <t>Temps [1/4h]</t>
  </si>
  <si>
    <t>Permis de conduire</t>
  </si>
  <si>
    <t>Médecin</t>
  </si>
  <si>
    <t>Retard train</t>
  </si>
  <si>
    <t>Aucune interface graphique/page présentable actuellement, rien de fonctionnel en tout cas</t>
  </si>
  <si>
    <t>Modification des maquettes, Uses cases &amp; scénario, ajout dans JT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</si>
</sst>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00C]dddd\,\ d\.\ mmmm\ yyyy;@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2"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5.493121643522" createdVersion="4" refreshedVersion="6" minRefreshableVersion="3" recordCount="34">
  <cacheSource type="worksheet">
    <worksheetSource ref="A1:E35" sheet="Journal"/>
  </cacheSource>
  <cacheFields count="5">
    <cacheField name="Jour" numFmtId="164">
      <sharedItems containsSemiMixedTypes="0" containsNonDate="0" containsDate="1" containsString="0" minDate="2018-01-01T00:00:00" maxDate="2018-03-07T00:00:00" count="14">
        <d v="2018-03-06T00:00:00"/>
        <d v="2018-03-02T00:00:00"/>
        <d v="2018-03-01T00:00:00"/>
        <d v="2018-02-27T00:00:00"/>
        <d v="2018-02-16T00:00:00"/>
        <d v="2018-02-15T00:00:00"/>
        <d v="2018-02-13T00:00:00"/>
        <d v="2018-02-12T00:00:00"/>
        <d v="2018-02-09T00:00:00"/>
        <d v="2018-02-08T00:00:00"/>
        <d v="2018-02-06T00:00:00"/>
        <d v="2018-02-02T00:00:00"/>
        <d v="2018-02-01T00:00:00"/>
        <d v="2018-01-01T00:00:00" u="1"/>
      </sharedItems>
    </cacheField>
    <cacheField name="Semaine" numFmtId="1">
      <sharedItems containsSemiMixedTypes="0" containsString="0" containsNumber="1" containsInteger="1" minValue="5" maxValue="10"/>
    </cacheField>
    <cacheField name="Temps [1/4h]" numFmtId="1">
      <sharedItems containsSemiMixedTypes="0" containsString="0" containsNumber="1" containsInteger="1" minValue="0" maxValue="15"/>
    </cacheField>
    <cacheField name="Temps [h]" numFmtId="2">
      <sharedItems containsSemiMixedTypes="0" containsString="0" containsNumber="1" minValue="0" maxValue="3.75"/>
    </cacheField>
    <cacheField name="Type" numFmtId="0">
      <sharedItems count="5">
        <s v="Documentation"/>
        <s v="Implémentation"/>
        <s v="Analyse"/>
        <s v="Absence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4">
  <r>
    <x v="0"/>
    <n v="10"/>
    <n v="4"/>
    <n v="1"/>
    <x v="0"/>
  </r>
  <r>
    <x v="1"/>
    <n v="9"/>
    <n v="3"/>
    <n v="0.75"/>
    <x v="1"/>
  </r>
  <r>
    <x v="1"/>
    <n v="9"/>
    <n v="2"/>
    <n v="0.5"/>
    <x v="2"/>
  </r>
  <r>
    <x v="1"/>
    <n v="9"/>
    <n v="3"/>
    <n v="0.75"/>
    <x v="2"/>
  </r>
  <r>
    <x v="1"/>
    <n v="9"/>
    <n v="3"/>
    <n v="0.75"/>
    <x v="2"/>
  </r>
  <r>
    <x v="2"/>
    <n v="9"/>
    <n v="6"/>
    <n v="1.5"/>
    <x v="3"/>
  </r>
  <r>
    <x v="2"/>
    <n v="9"/>
    <n v="12"/>
    <n v="3"/>
    <x v="1"/>
  </r>
  <r>
    <x v="2"/>
    <n v="9"/>
    <n v="6"/>
    <n v="1.5"/>
    <x v="2"/>
  </r>
  <r>
    <x v="2"/>
    <n v="9"/>
    <n v="6"/>
    <n v="1.5"/>
    <x v="3"/>
  </r>
  <r>
    <x v="3"/>
    <n v="9"/>
    <n v="9"/>
    <n v="2.25"/>
    <x v="2"/>
  </r>
  <r>
    <x v="4"/>
    <n v="7"/>
    <n v="9"/>
    <n v="2.25"/>
    <x v="1"/>
  </r>
  <r>
    <x v="5"/>
    <n v="7"/>
    <n v="15"/>
    <n v="3.75"/>
    <x v="2"/>
  </r>
  <r>
    <x v="5"/>
    <n v="7"/>
    <n v="9"/>
    <n v="2.25"/>
    <x v="2"/>
  </r>
  <r>
    <x v="6"/>
    <n v="7"/>
    <n v="6"/>
    <n v="1.5"/>
    <x v="3"/>
  </r>
  <r>
    <x v="7"/>
    <n v="7"/>
    <n v="9"/>
    <n v="2.25"/>
    <x v="2"/>
  </r>
  <r>
    <x v="8"/>
    <n v="6"/>
    <n v="6"/>
    <n v="1.5"/>
    <x v="2"/>
  </r>
  <r>
    <x v="9"/>
    <n v="6"/>
    <n v="2"/>
    <n v="0.5"/>
    <x v="2"/>
  </r>
  <r>
    <x v="9"/>
    <n v="6"/>
    <n v="1"/>
    <n v="0.25"/>
    <x v="2"/>
  </r>
  <r>
    <x v="9"/>
    <n v="6"/>
    <n v="9"/>
    <n v="2.25"/>
    <x v="2"/>
  </r>
  <r>
    <x v="9"/>
    <n v="6"/>
    <n v="3"/>
    <n v="0.75"/>
    <x v="2"/>
  </r>
  <r>
    <x v="9"/>
    <n v="6"/>
    <n v="6"/>
    <n v="1.5"/>
    <x v="2"/>
  </r>
  <r>
    <x v="9"/>
    <n v="6"/>
    <n v="2"/>
    <n v="0.5"/>
    <x v="2"/>
  </r>
  <r>
    <x v="9"/>
    <n v="6"/>
    <n v="3"/>
    <n v="0.75"/>
    <x v="2"/>
  </r>
  <r>
    <x v="10"/>
    <n v="6"/>
    <n v="1"/>
    <n v="0.25"/>
    <x v="2"/>
  </r>
  <r>
    <x v="10"/>
    <n v="6"/>
    <n v="1"/>
    <n v="0.25"/>
    <x v="2"/>
  </r>
  <r>
    <x v="10"/>
    <n v="6"/>
    <n v="1"/>
    <n v="0.25"/>
    <x v="2"/>
  </r>
  <r>
    <x v="10"/>
    <n v="6"/>
    <n v="6"/>
    <n v="1.5"/>
    <x v="3"/>
  </r>
  <r>
    <x v="11"/>
    <n v="5"/>
    <n v="2"/>
    <n v="0.5"/>
    <x v="2"/>
  </r>
  <r>
    <x v="11"/>
    <n v="5"/>
    <n v="3"/>
    <n v="0.75"/>
    <x v="2"/>
  </r>
  <r>
    <x v="12"/>
    <n v="5"/>
    <n v="0"/>
    <n v="0"/>
    <x v="2"/>
  </r>
  <r>
    <x v="12"/>
    <n v="5"/>
    <n v="1"/>
    <n v="0.25"/>
    <x v="0"/>
  </r>
  <r>
    <x v="12"/>
    <n v="5"/>
    <n v="8"/>
    <n v="2"/>
    <x v="2"/>
  </r>
  <r>
    <x v="12"/>
    <n v="5"/>
    <n v="1"/>
    <n v="0.25"/>
    <x v="0"/>
  </r>
  <r>
    <x v="12"/>
    <n v="5"/>
    <n v="1"/>
    <n v="0.25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8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F18" firstHeaderRow="1" firstDataRow="2" firstDataCol="1"/>
  <pivotFields count="5">
    <pivotField axis="axisRow" numFmtId="16" showAll="0">
      <items count="15">
        <item m="1" x="13"/>
        <item x="12"/>
        <item x="11"/>
        <item x="10"/>
        <item x="9"/>
        <item x="8"/>
        <item x="6"/>
        <item x="7"/>
        <item x="5"/>
        <item x="4"/>
        <item x="3"/>
        <item x="2"/>
        <item x="1"/>
        <item x="0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x="0"/>
        <item x="1"/>
        <item x="2"/>
        <item m="1" x="4"/>
        <item x="3"/>
        <item t="default"/>
      </items>
    </pivotField>
  </pivotFields>
  <rowFields count="1">
    <field x="0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4"/>
  </colFields>
  <colItems count="5">
    <i>
      <x/>
    </i>
    <i>
      <x v="1"/>
    </i>
    <i>
      <x v="2"/>
    </i>
    <i>
      <x v="4"/>
    </i>
    <i t="grand">
      <x/>
    </i>
  </colItems>
  <dataFields count="1">
    <dataField name="Somme de Temps [h]" fld="3" baseField="0" baseItem="0" numFmtId="2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36"/>
  <sheetViews>
    <sheetView tabSelected="1" workbookViewId="0">
      <selection activeCell="B28" sqref="B28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4" customWidth="1"/>
    <col min="4" max="4" width="13.7109375" style="21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2" t="s">
        <v>56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43165</v>
      </c>
      <c r="B2" s="14">
        <f t="shared" ref="B2:B36" si="0">WEEKNUM(A2)</f>
        <v>10</v>
      </c>
      <c r="C2" s="23">
        <v>4</v>
      </c>
      <c r="D2" s="20">
        <f t="shared" ref="D2:D36" si="1">C2/4</f>
        <v>1</v>
      </c>
      <c r="E2" s="9" t="s">
        <v>9</v>
      </c>
      <c r="F2" s="10" t="s">
        <v>61</v>
      </c>
      <c r="G2" s="10"/>
      <c r="J2" s="11"/>
    </row>
    <row r="3" spans="1:10" ht="30" x14ac:dyDescent="0.25">
      <c r="A3" s="17">
        <v>43161</v>
      </c>
      <c r="B3" s="14">
        <f t="shared" si="0"/>
        <v>9</v>
      </c>
      <c r="C3" s="23">
        <v>3</v>
      </c>
      <c r="D3" s="20">
        <f t="shared" si="1"/>
        <v>0.75</v>
      </c>
      <c r="E3" s="9" t="s">
        <v>7</v>
      </c>
      <c r="F3" s="10" t="s">
        <v>55</v>
      </c>
      <c r="G3" s="10" t="s">
        <v>60</v>
      </c>
      <c r="J3" s="11"/>
    </row>
    <row r="4" spans="1:10" x14ac:dyDescent="0.25">
      <c r="A4" s="17">
        <v>43161</v>
      </c>
      <c r="B4" s="14">
        <f t="shared" si="0"/>
        <v>9</v>
      </c>
      <c r="C4" s="23">
        <v>2</v>
      </c>
      <c r="D4" s="20">
        <f t="shared" si="1"/>
        <v>0.5</v>
      </c>
      <c r="E4" s="9" t="s">
        <v>6</v>
      </c>
      <c r="F4" s="10" t="s">
        <v>54</v>
      </c>
      <c r="G4" s="10"/>
      <c r="J4" s="11"/>
    </row>
    <row r="5" spans="1:10" x14ac:dyDescent="0.25">
      <c r="A5" s="17">
        <v>43161</v>
      </c>
      <c r="B5" s="14">
        <f t="shared" si="0"/>
        <v>9</v>
      </c>
      <c r="C5" s="23">
        <v>3</v>
      </c>
      <c r="D5" s="20">
        <f t="shared" si="1"/>
        <v>0.75</v>
      </c>
      <c r="E5" s="9" t="s">
        <v>6</v>
      </c>
      <c r="F5" s="10" t="s">
        <v>54</v>
      </c>
      <c r="G5" s="10"/>
      <c r="J5" s="11"/>
    </row>
    <row r="6" spans="1:10" x14ac:dyDescent="0.25">
      <c r="A6" s="17">
        <v>43161</v>
      </c>
      <c r="B6" s="14">
        <f t="shared" si="0"/>
        <v>9</v>
      </c>
      <c r="C6" s="23">
        <v>3</v>
      </c>
      <c r="D6" s="20">
        <f t="shared" si="1"/>
        <v>0.75</v>
      </c>
      <c r="E6" s="9" t="s">
        <v>6</v>
      </c>
      <c r="F6" s="10" t="s">
        <v>52</v>
      </c>
      <c r="G6" s="10" t="s">
        <v>53</v>
      </c>
      <c r="J6" s="11"/>
    </row>
    <row r="7" spans="1:10" x14ac:dyDescent="0.25">
      <c r="A7" s="17">
        <v>43160</v>
      </c>
      <c r="B7" s="14">
        <f t="shared" si="0"/>
        <v>9</v>
      </c>
      <c r="C7" s="23">
        <v>6</v>
      </c>
      <c r="D7" s="20">
        <f t="shared" si="1"/>
        <v>1.5</v>
      </c>
      <c r="E7" s="9" t="s">
        <v>10</v>
      </c>
      <c r="F7" s="10" t="s">
        <v>25</v>
      </c>
      <c r="G7" s="10" t="s">
        <v>59</v>
      </c>
      <c r="J7" s="11"/>
    </row>
    <row r="8" spans="1:10" x14ac:dyDescent="0.25">
      <c r="A8" s="17">
        <v>43160</v>
      </c>
      <c r="B8" s="14">
        <f t="shared" si="0"/>
        <v>9</v>
      </c>
      <c r="C8" s="23">
        <v>12</v>
      </c>
      <c r="D8" s="20">
        <f t="shared" si="1"/>
        <v>3</v>
      </c>
      <c r="E8" s="9" t="s">
        <v>7</v>
      </c>
      <c r="F8" s="10" t="s">
        <v>38</v>
      </c>
      <c r="G8" s="10" t="s">
        <v>50</v>
      </c>
      <c r="J8" s="11"/>
    </row>
    <row r="9" spans="1:10" x14ac:dyDescent="0.25">
      <c r="A9" s="17">
        <v>43160</v>
      </c>
      <c r="B9" s="14">
        <f t="shared" si="0"/>
        <v>9</v>
      </c>
      <c r="C9" s="23">
        <v>6</v>
      </c>
      <c r="D9" s="20">
        <f t="shared" si="1"/>
        <v>1.5</v>
      </c>
      <c r="E9" s="9" t="s">
        <v>6</v>
      </c>
      <c r="F9" s="10" t="s">
        <v>40</v>
      </c>
      <c r="G9" s="10" t="s">
        <v>51</v>
      </c>
      <c r="J9" s="11"/>
    </row>
    <row r="10" spans="1:10" x14ac:dyDescent="0.25">
      <c r="A10" s="17">
        <v>43160</v>
      </c>
      <c r="B10" s="14">
        <f t="shared" si="0"/>
        <v>9</v>
      </c>
      <c r="C10" s="23">
        <v>6</v>
      </c>
      <c r="D10" s="20">
        <f t="shared" si="1"/>
        <v>1.5</v>
      </c>
      <c r="E10" s="9" t="s">
        <v>10</v>
      </c>
      <c r="F10" s="10" t="s">
        <v>25</v>
      </c>
      <c r="G10" s="10" t="s">
        <v>59</v>
      </c>
      <c r="J10" s="11"/>
    </row>
    <row r="11" spans="1:10" ht="30" x14ac:dyDescent="0.25">
      <c r="A11" s="17">
        <v>43158</v>
      </c>
      <c r="B11" s="14">
        <f t="shared" si="0"/>
        <v>9</v>
      </c>
      <c r="C11" s="23">
        <v>9</v>
      </c>
      <c r="D11" s="20">
        <f t="shared" si="1"/>
        <v>2.25</v>
      </c>
      <c r="E11" s="9" t="s">
        <v>6</v>
      </c>
      <c r="F11" s="10" t="s">
        <v>39</v>
      </c>
      <c r="G11" s="10"/>
      <c r="J11" s="11"/>
    </row>
    <row r="12" spans="1:10" ht="30" x14ac:dyDescent="0.25">
      <c r="A12" s="17">
        <v>43147</v>
      </c>
      <c r="B12" s="14">
        <f t="shared" si="0"/>
        <v>7</v>
      </c>
      <c r="C12" s="23">
        <v>9</v>
      </c>
      <c r="D12" s="20">
        <f t="shared" si="1"/>
        <v>2.25</v>
      </c>
      <c r="E12" s="9" t="s">
        <v>7</v>
      </c>
      <c r="F12" s="10" t="s">
        <v>38</v>
      </c>
      <c r="G12" s="10" t="s">
        <v>49</v>
      </c>
      <c r="J12" s="11"/>
    </row>
    <row r="13" spans="1:10" ht="30" x14ac:dyDescent="0.25">
      <c r="A13" s="17">
        <v>43146</v>
      </c>
      <c r="B13" s="14">
        <f t="shared" si="0"/>
        <v>7</v>
      </c>
      <c r="C13" s="23">
        <v>15</v>
      </c>
      <c r="D13" s="20">
        <f t="shared" si="1"/>
        <v>3.75</v>
      </c>
      <c r="E13" s="9" t="s">
        <v>6</v>
      </c>
      <c r="F13" s="10" t="s">
        <v>36</v>
      </c>
      <c r="G13" s="10"/>
      <c r="J13" s="11"/>
    </row>
    <row r="14" spans="1:10" x14ac:dyDescent="0.25">
      <c r="A14" s="17">
        <v>43146</v>
      </c>
      <c r="B14" s="14">
        <f t="shared" si="0"/>
        <v>7</v>
      </c>
      <c r="C14" s="23">
        <v>9</v>
      </c>
      <c r="D14" s="20">
        <f t="shared" si="1"/>
        <v>2.25</v>
      </c>
      <c r="E14" s="9" t="s">
        <v>6</v>
      </c>
      <c r="F14" s="10" t="s">
        <v>37</v>
      </c>
      <c r="G14" s="10"/>
      <c r="J14" s="11"/>
    </row>
    <row r="15" spans="1:10" x14ac:dyDescent="0.25">
      <c r="A15" s="17">
        <v>43144</v>
      </c>
      <c r="B15" s="14">
        <f t="shared" si="0"/>
        <v>7</v>
      </c>
      <c r="C15" s="23">
        <v>6</v>
      </c>
      <c r="D15" s="20">
        <f t="shared" si="1"/>
        <v>1.5</v>
      </c>
      <c r="E15" s="9" t="s">
        <v>10</v>
      </c>
      <c r="F15" s="10" t="s">
        <v>34</v>
      </c>
      <c r="G15" s="10" t="s">
        <v>58</v>
      </c>
      <c r="J15" s="11"/>
    </row>
    <row r="16" spans="1:10" ht="45" x14ac:dyDescent="0.25">
      <c r="A16" s="17">
        <v>43143</v>
      </c>
      <c r="B16" s="14">
        <f t="shared" si="0"/>
        <v>7</v>
      </c>
      <c r="C16" s="23">
        <v>9</v>
      </c>
      <c r="D16" s="20">
        <f t="shared" si="1"/>
        <v>2.25</v>
      </c>
      <c r="E16" s="9" t="s">
        <v>6</v>
      </c>
      <c r="F16" s="10" t="s">
        <v>35</v>
      </c>
      <c r="G16" s="10" t="s">
        <v>48</v>
      </c>
      <c r="J16" s="11"/>
    </row>
    <row r="17" spans="1:10" x14ac:dyDescent="0.25">
      <c r="A17" s="17">
        <v>43140</v>
      </c>
      <c r="B17" s="14">
        <f t="shared" si="0"/>
        <v>6</v>
      </c>
      <c r="C17" s="23">
        <v>6</v>
      </c>
      <c r="D17" s="20">
        <f t="shared" si="1"/>
        <v>1.5</v>
      </c>
      <c r="E17" s="9" t="s">
        <v>6</v>
      </c>
      <c r="F17" s="10" t="s">
        <v>33</v>
      </c>
      <c r="G17" s="10"/>
      <c r="J17" s="11"/>
    </row>
    <row r="18" spans="1:10" x14ac:dyDescent="0.25">
      <c r="A18" s="17">
        <v>43139</v>
      </c>
      <c r="B18" s="14">
        <f t="shared" si="0"/>
        <v>6</v>
      </c>
      <c r="C18" s="23">
        <v>2</v>
      </c>
      <c r="D18" s="20">
        <f t="shared" si="1"/>
        <v>0.5</v>
      </c>
      <c r="E18" s="9" t="s">
        <v>6</v>
      </c>
      <c r="F18" s="10" t="s">
        <v>26</v>
      </c>
      <c r="G18" s="10" t="s">
        <v>47</v>
      </c>
      <c r="J18" s="11"/>
    </row>
    <row r="19" spans="1:10" x14ac:dyDescent="0.25">
      <c r="A19" s="17">
        <v>43139</v>
      </c>
      <c r="B19" s="14">
        <f t="shared" si="0"/>
        <v>6</v>
      </c>
      <c r="C19" s="23">
        <v>1</v>
      </c>
      <c r="D19" s="20">
        <f t="shared" si="1"/>
        <v>0.25</v>
      </c>
      <c r="E19" s="9" t="s">
        <v>6</v>
      </c>
      <c r="F19" s="10" t="s">
        <v>27</v>
      </c>
      <c r="G19" s="10"/>
      <c r="J19" s="11"/>
    </row>
    <row r="20" spans="1:10" x14ac:dyDescent="0.25">
      <c r="A20" s="17">
        <v>43139</v>
      </c>
      <c r="B20" s="14">
        <f t="shared" si="0"/>
        <v>6</v>
      </c>
      <c r="C20" s="23">
        <v>9</v>
      </c>
      <c r="D20" s="20">
        <f t="shared" si="1"/>
        <v>2.25</v>
      </c>
      <c r="E20" s="9" t="s">
        <v>6</v>
      </c>
      <c r="F20" s="10" t="s">
        <v>28</v>
      </c>
      <c r="G20" s="10"/>
      <c r="J20" s="11"/>
    </row>
    <row r="21" spans="1:10" x14ac:dyDescent="0.25">
      <c r="A21" s="17">
        <v>43139</v>
      </c>
      <c r="B21" s="14">
        <f t="shared" si="0"/>
        <v>6</v>
      </c>
      <c r="C21" s="23">
        <v>3</v>
      </c>
      <c r="D21" s="20">
        <f t="shared" si="1"/>
        <v>0.75</v>
      </c>
      <c r="E21" s="9" t="s">
        <v>6</v>
      </c>
      <c r="F21" s="10" t="s">
        <v>29</v>
      </c>
      <c r="G21" s="10"/>
      <c r="J21" s="11"/>
    </row>
    <row r="22" spans="1:10" x14ac:dyDescent="0.25">
      <c r="A22" s="17">
        <v>43139</v>
      </c>
      <c r="B22" s="14">
        <f t="shared" si="0"/>
        <v>6</v>
      </c>
      <c r="C22" s="23">
        <v>6</v>
      </c>
      <c r="D22" s="20">
        <f t="shared" si="1"/>
        <v>1.5</v>
      </c>
      <c r="E22" s="9" t="s">
        <v>6</v>
      </c>
      <c r="F22" s="10" t="s">
        <v>30</v>
      </c>
      <c r="G22" s="10"/>
      <c r="J22" s="11"/>
    </row>
    <row r="23" spans="1:10" x14ac:dyDescent="0.25">
      <c r="A23" s="17">
        <v>43139</v>
      </c>
      <c r="B23" s="14">
        <f t="shared" si="0"/>
        <v>6</v>
      </c>
      <c r="C23" s="23">
        <v>2</v>
      </c>
      <c r="D23" s="20">
        <f t="shared" si="1"/>
        <v>0.5</v>
      </c>
      <c r="E23" s="9" t="s">
        <v>6</v>
      </c>
      <c r="F23" s="10" t="s">
        <v>31</v>
      </c>
      <c r="G23" s="10"/>
      <c r="J23" s="11"/>
    </row>
    <row r="24" spans="1:10" x14ac:dyDescent="0.25">
      <c r="A24" s="17">
        <v>43139</v>
      </c>
      <c r="B24" s="14">
        <f t="shared" si="0"/>
        <v>6</v>
      </c>
      <c r="C24" s="23">
        <v>3</v>
      </c>
      <c r="D24" s="20">
        <f t="shared" si="1"/>
        <v>0.75</v>
      </c>
      <c r="E24" s="9" t="s">
        <v>6</v>
      </c>
      <c r="F24" s="10" t="s">
        <v>32</v>
      </c>
      <c r="G24" s="10"/>
      <c r="J24" s="11"/>
    </row>
    <row r="25" spans="1:10" x14ac:dyDescent="0.25">
      <c r="A25" s="17">
        <v>43137</v>
      </c>
      <c r="B25" s="14">
        <f t="shared" si="0"/>
        <v>6</v>
      </c>
      <c r="C25" s="23">
        <v>1</v>
      </c>
      <c r="D25" s="20">
        <f t="shared" si="1"/>
        <v>0.25</v>
      </c>
      <c r="E25" s="9" t="s">
        <v>6</v>
      </c>
      <c r="F25" s="10" t="s">
        <v>22</v>
      </c>
      <c r="G25" s="10" t="s">
        <v>45</v>
      </c>
      <c r="J25" s="11"/>
    </row>
    <row r="26" spans="1:10" x14ac:dyDescent="0.25">
      <c r="A26" s="17">
        <v>43137</v>
      </c>
      <c r="B26" s="14">
        <f t="shared" si="0"/>
        <v>6</v>
      </c>
      <c r="C26" s="23">
        <v>1</v>
      </c>
      <c r="D26" s="20">
        <f t="shared" si="1"/>
        <v>0.25</v>
      </c>
      <c r="E26" s="9" t="s">
        <v>6</v>
      </c>
      <c r="F26" s="10" t="s">
        <v>23</v>
      </c>
      <c r="G26" s="10"/>
      <c r="J26" s="11"/>
    </row>
    <row r="27" spans="1:10" x14ac:dyDescent="0.25">
      <c r="A27" s="17">
        <v>43137</v>
      </c>
      <c r="B27" s="14">
        <f t="shared" si="0"/>
        <v>6</v>
      </c>
      <c r="C27" s="23">
        <v>1</v>
      </c>
      <c r="D27" s="20">
        <f t="shared" si="1"/>
        <v>0.25</v>
      </c>
      <c r="E27" s="9" t="s">
        <v>6</v>
      </c>
      <c r="F27" s="10" t="s">
        <v>24</v>
      </c>
      <c r="G27" s="10" t="s">
        <v>46</v>
      </c>
      <c r="J27" s="11"/>
    </row>
    <row r="28" spans="1:10" x14ac:dyDescent="0.25">
      <c r="A28" s="17">
        <v>43137</v>
      </c>
      <c r="B28" s="14">
        <f t="shared" si="0"/>
        <v>6</v>
      </c>
      <c r="C28" s="23">
        <v>6</v>
      </c>
      <c r="D28" s="20">
        <f t="shared" si="1"/>
        <v>1.5</v>
      </c>
      <c r="E28" s="9" t="s">
        <v>10</v>
      </c>
      <c r="F28" s="10" t="s">
        <v>25</v>
      </c>
      <c r="G28" s="10" t="s">
        <v>57</v>
      </c>
      <c r="J28" s="11"/>
    </row>
    <row r="29" spans="1:10" x14ac:dyDescent="0.25">
      <c r="A29" s="17">
        <v>43133</v>
      </c>
      <c r="B29" s="14">
        <f t="shared" si="0"/>
        <v>5</v>
      </c>
      <c r="C29" s="23">
        <v>2</v>
      </c>
      <c r="D29" s="20">
        <f t="shared" si="1"/>
        <v>0.5</v>
      </c>
      <c r="E29" s="9" t="s">
        <v>6</v>
      </c>
      <c r="F29" s="10" t="s">
        <v>20</v>
      </c>
      <c r="G29" s="10" t="s">
        <v>44</v>
      </c>
      <c r="J29" s="11"/>
    </row>
    <row r="30" spans="1:10" x14ac:dyDescent="0.25">
      <c r="A30" s="17">
        <v>43133</v>
      </c>
      <c r="B30" s="14">
        <f t="shared" si="0"/>
        <v>5</v>
      </c>
      <c r="C30" s="23">
        <v>3</v>
      </c>
      <c r="D30" s="20">
        <f t="shared" si="1"/>
        <v>0.75</v>
      </c>
      <c r="E30" s="9" t="s">
        <v>6</v>
      </c>
      <c r="F30" s="10" t="s">
        <v>21</v>
      </c>
      <c r="G30" s="10"/>
      <c r="J30" s="11"/>
    </row>
    <row r="31" spans="1:10" x14ac:dyDescent="0.25">
      <c r="A31" s="17">
        <v>43132</v>
      </c>
      <c r="B31" s="14">
        <f t="shared" si="0"/>
        <v>5</v>
      </c>
      <c r="C31" s="23">
        <v>0</v>
      </c>
      <c r="D31" s="20">
        <f t="shared" si="1"/>
        <v>0</v>
      </c>
      <c r="E31" s="9" t="s">
        <v>6</v>
      </c>
      <c r="F31" s="10" t="s">
        <v>14</v>
      </c>
      <c r="G31" s="10" t="s">
        <v>41</v>
      </c>
      <c r="J31" s="11"/>
    </row>
    <row r="32" spans="1:10" x14ac:dyDescent="0.25">
      <c r="A32" s="17">
        <v>43132</v>
      </c>
      <c r="B32" s="14">
        <f t="shared" si="0"/>
        <v>5</v>
      </c>
      <c r="C32" s="23">
        <v>1</v>
      </c>
      <c r="D32" s="20">
        <f t="shared" si="1"/>
        <v>0.25</v>
      </c>
      <c r="E32" s="9" t="s">
        <v>9</v>
      </c>
      <c r="F32" s="10" t="s">
        <v>15</v>
      </c>
      <c r="G32" s="10" t="s">
        <v>42</v>
      </c>
      <c r="J32" s="11"/>
    </row>
    <row r="33" spans="1:10" x14ac:dyDescent="0.25">
      <c r="A33" s="17">
        <v>43132</v>
      </c>
      <c r="B33" s="14">
        <f t="shared" si="0"/>
        <v>5</v>
      </c>
      <c r="C33" s="23">
        <v>8</v>
      </c>
      <c r="D33" s="20">
        <f t="shared" si="1"/>
        <v>2</v>
      </c>
      <c r="E33" s="9" t="s">
        <v>6</v>
      </c>
      <c r="F33" s="10" t="s">
        <v>16</v>
      </c>
      <c r="G33" s="10" t="s">
        <v>43</v>
      </c>
      <c r="J33" s="11"/>
    </row>
    <row r="34" spans="1:10" x14ac:dyDescent="0.25">
      <c r="A34" s="17">
        <v>43132</v>
      </c>
      <c r="B34" s="14">
        <f t="shared" si="0"/>
        <v>5</v>
      </c>
      <c r="C34" s="23">
        <v>1</v>
      </c>
      <c r="D34" s="20">
        <f t="shared" si="1"/>
        <v>0.25</v>
      </c>
      <c r="E34" s="9" t="s">
        <v>9</v>
      </c>
      <c r="F34" s="10" t="s">
        <v>17</v>
      </c>
      <c r="G34" s="10"/>
      <c r="J34" s="11"/>
    </row>
    <row r="35" spans="1:10" x14ac:dyDescent="0.25">
      <c r="A35" s="17">
        <v>43132</v>
      </c>
      <c r="B35" s="14">
        <f t="shared" si="0"/>
        <v>5</v>
      </c>
      <c r="C35" s="23">
        <v>1</v>
      </c>
      <c r="D35" s="20">
        <f t="shared" si="1"/>
        <v>0.25</v>
      </c>
      <c r="E35" s="9" t="s">
        <v>6</v>
      </c>
      <c r="F35" s="10" t="s">
        <v>18</v>
      </c>
      <c r="G35" s="10"/>
      <c r="J35" s="11"/>
    </row>
    <row r="36" spans="1:10" x14ac:dyDescent="0.25">
      <c r="A36" s="17">
        <v>43132</v>
      </c>
      <c r="B36" s="14">
        <f t="shared" si="0"/>
        <v>5</v>
      </c>
      <c r="C36" s="23">
        <v>1</v>
      </c>
      <c r="D36" s="20">
        <f t="shared" si="1"/>
        <v>0.25</v>
      </c>
      <c r="E36" s="9" t="s">
        <v>6</v>
      </c>
      <c r="F36" s="10" t="s">
        <v>19</v>
      </c>
      <c r="G36" s="10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F18"/>
  <sheetViews>
    <sheetView workbookViewId="0">
      <selection activeCell="A4" sqref="A4"/>
    </sheetView>
  </sheetViews>
  <sheetFormatPr baseColWidth="10" defaultRowHeight="15" x14ac:dyDescent="0.25"/>
  <cols>
    <col min="1" max="1" width="19.85546875" bestFit="1" customWidth="1"/>
    <col min="2" max="2" width="14.7109375" bestFit="1" customWidth="1"/>
    <col min="3" max="3" width="15.42578125" bestFit="1" customWidth="1"/>
    <col min="4" max="4" width="8" bestFit="1" customWidth="1"/>
    <col min="5" max="5" width="8.5703125" bestFit="1" customWidth="1"/>
    <col min="6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3" t="s">
        <v>13</v>
      </c>
    </row>
    <row r="4" spans="1:6" x14ac:dyDescent="0.25">
      <c r="B4" t="s">
        <v>9</v>
      </c>
      <c r="C4" t="s">
        <v>7</v>
      </c>
      <c r="D4" t="s">
        <v>6</v>
      </c>
      <c r="E4" t="s">
        <v>10</v>
      </c>
      <c r="F4" t="s">
        <v>11</v>
      </c>
    </row>
    <row r="5" spans="1:6" x14ac:dyDescent="0.25">
      <c r="A5" s="4">
        <v>43132</v>
      </c>
      <c r="B5" s="25">
        <v>0.5</v>
      </c>
      <c r="C5" s="25"/>
      <c r="D5" s="25">
        <v>2.25</v>
      </c>
      <c r="E5" s="25"/>
      <c r="F5" s="25">
        <v>2.75</v>
      </c>
    </row>
    <row r="6" spans="1:6" x14ac:dyDescent="0.25">
      <c r="A6" s="4">
        <v>43133</v>
      </c>
      <c r="B6" s="25"/>
      <c r="C6" s="25"/>
      <c r="D6" s="25">
        <v>1.25</v>
      </c>
      <c r="E6" s="25"/>
      <c r="F6" s="25">
        <v>1.25</v>
      </c>
    </row>
    <row r="7" spans="1:6" x14ac:dyDescent="0.25">
      <c r="A7" s="4">
        <v>43137</v>
      </c>
      <c r="B7" s="25"/>
      <c r="C7" s="25"/>
      <c r="D7" s="25">
        <v>0.75</v>
      </c>
      <c r="E7" s="25">
        <v>1.5</v>
      </c>
      <c r="F7" s="25">
        <v>2.25</v>
      </c>
    </row>
    <row r="8" spans="1:6" x14ac:dyDescent="0.25">
      <c r="A8" s="4">
        <v>43139</v>
      </c>
      <c r="B8" s="25"/>
      <c r="C8" s="25"/>
      <c r="D8" s="25">
        <v>6.5</v>
      </c>
      <c r="E8" s="25"/>
      <c r="F8" s="25">
        <v>6.5</v>
      </c>
    </row>
    <row r="9" spans="1:6" x14ac:dyDescent="0.25">
      <c r="A9" s="4">
        <v>43140</v>
      </c>
      <c r="B9" s="25"/>
      <c r="C9" s="25"/>
      <c r="D9" s="25">
        <v>1.5</v>
      </c>
      <c r="E9" s="25"/>
      <c r="F9" s="25">
        <v>1.5</v>
      </c>
    </row>
    <row r="10" spans="1:6" x14ac:dyDescent="0.25">
      <c r="A10" s="4">
        <v>43144</v>
      </c>
      <c r="B10" s="25"/>
      <c r="C10" s="25"/>
      <c r="D10" s="25"/>
      <c r="E10" s="25">
        <v>1.5</v>
      </c>
      <c r="F10" s="25">
        <v>1.5</v>
      </c>
    </row>
    <row r="11" spans="1:6" x14ac:dyDescent="0.25">
      <c r="A11" s="4">
        <v>43143</v>
      </c>
      <c r="B11" s="25"/>
      <c r="C11" s="25"/>
      <c r="D11" s="25">
        <v>2.25</v>
      </c>
      <c r="E11" s="25"/>
      <c r="F11" s="25">
        <v>2.25</v>
      </c>
    </row>
    <row r="12" spans="1:6" x14ac:dyDescent="0.25">
      <c r="A12" s="4">
        <v>43146</v>
      </c>
      <c r="B12" s="25"/>
      <c r="C12" s="25"/>
      <c r="D12" s="25">
        <v>6</v>
      </c>
      <c r="E12" s="25"/>
      <c r="F12" s="25">
        <v>6</v>
      </c>
    </row>
    <row r="13" spans="1:6" x14ac:dyDescent="0.25">
      <c r="A13" s="4">
        <v>43147</v>
      </c>
      <c r="B13" s="25"/>
      <c r="C13" s="25">
        <v>2.25</v>
      </c>
      <c r="D13" s="25"/>
      <c r="E13" s="25"/>
      <c r="F13" s="25">
        <v>2.25</v>
      </c>
    </row>
    <row r="14" spans="1:6" x14ac:dyDescent="0.25">
      <c r="A14" s="4">
        <v>43158</v>
      </c>
      <c r="B14" s="25"/>
      <c r="C14" s="25"/>
      <c r="D14" s="25">
        <v>2.25</v>
      </c>
      <c r="E14" s="25"/>
      <c r="F14" s="25">
        <v>2.25</v>
      </c>
    </row>
    <row r="15" spans="1:6" x14ac:dyDescent="0.25">
      <c r="A15" s="4">
        <v>43160</v>
      </c>
      <c r="B15" s="25"/>
      <c r="C15" s="25">
        <v>3</v>
      </c>
      <c r="D15" s="25">
        <v>1.5</v>
      </c>
      <c r="E15" s="25">
        <v>3</v>
      </c>
      <c r="F15" s="25">
        <v>7.5</v>
      </c>
    </row>
    <row r="16" spans="1:6" x14ac:dyDescent="0.25">
      <c r="A16" s="4">
        <v>43161</v>
      </c>
      <c r="B16" s="25"/>
      <c r="C16" s="25">
        <v>0.75</v>
      </c>
      <c r="D16" s="25">
        <v>2</v>
      </c>
      <c r="E16" s="25"/>
      <c r="F16" s="25">
        <v>2.75</v>
      </c>
    </row>
    <row r="17" spans="1:6" x14ac:dyDescent="0.25">
      <c r="A17" s="4">
        <v>43165</v>
      </c>
      <c r="B17" s="25">
        <v>1</v>
      </c>
      <c r="C17" s="25"/>
      <c r="D17" s="25"/>
      <c r="E17" s="25"/>
      <c r="F17" s="25">
        <v>1</v>
      </c>
    </row>
    <row r="18" spans="1:6" x14ac:dyDescent="0.25">
      <c r="A18" s="4" t="s">
        <v>11</v>
      </c>
      <c r="B18" s="25">
        <v>1.5</v>
      </c>
      <c r="C18" s="25">
        <v>6</v>
      </c>
      <c r="D18" s="25">
        <v>26.25</v>
      </c>
      <c r="E18" s="25">
        <v>6</v>
      </c>
      <c r="F18" s="25">
        <v>39.75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2018-03-06T10:50:30Z</dcterms:modified>
</cp:coreProperties>
</file>