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930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2" i="1" l="1"/>
  <c r="B2" i="1"/>
  <c r="D3" i="1"/>
  <c r="B3" i="1"/>
  <c r="D4" i="1"/>
  <c r="B4" i="1"/>
  <c r="D5" i="1"/>
  <c r="B5" i="1"/>
  <c r="D6" i="1"/>
  <c r="B6" i="1"/>
  <c r="D7" i="1"/>
  <c r="B7" i="1"/>
  <c r="D8" i="1"/>
  <c r="B8" i="1"/>
  <c r="D9" i="1"/>
  <c r="B9" i="1"/>
  <c r="D10" i="1"/>
  <c r="B10" i="1"/>
  <c r="D11" i="1"/>
  <c r="B11" i="1"/>
  <c r="D12" i="1"/>
  <c r="B12" i="1"/>
  <c r="D13" i="1"/>
  <c r="B13" i="1"/>
  <c r="D14" i="1"/>
  <c r="B14" i="1"/>
  <c r="D15" i="1"/>
  <c r="B15" i="1"/>
  <c r="D16" i="1"/>
  <c r="B16" i="1"/>
  <c r="D17" i="1"/>
  <c r="B17" i="1"/>
  <c r="D18" i="1"/>
  <c r="B18" i="1"/>
  <c r="D19" i="1"/>
  <c r="B19" i="1"/>
  <c r="D20" i="1"/>
  <c r="B20" i="1"/>
  <c r="D21" i="1"/>
  <c r="B21" i="1"/>
  <c r="D22" i="1"/>
  <c r="B22" i="1"/>
  <c r="D52" i="1"/>
  <c r="D53" i="1"/>
  <c r="D54" i="1"/>
  <c r="D55" i="1"/>
  <c r="D56" i="1"/>
  <c r="D49" i="1"/>
  <c r="D50" i="1"/>
  <c r="D45" i="1"/>
  <c r="D46" i="1"/>
  <c r="D47" i="1"/>
  <c r="D48" i="1"/>
  <c r="D38" i="1"/>
  <c r="D39" i="1"/>
  <c r="D40" i="1"/>
  <c r="D41" i="1"/>
  <c r="D42" i="1"/>
  <c r="D43" i="1"/>
  <c r="D44" i="1"/>
  <c r="D37" i="1"/>
  <c r="D36" i="1"/>
  <c r="D35" i="1"/>
  <c r="D33" i="1"/>
  <c r="D34" i="1"/>
  <c r="D32" i="1"/>
  <c r="D31" i="1"/>
  <c r="D27" i="1"/>
  <c r="D28" i="1"/>
  <c r="D29" i="1"/>
  <c r="D30" i="1"/>
  <c r="D23" i="1"/>
  <c r="D24" i="1"/>
  <c r="D25" i="1"/>
  <c r="D26" i="1"/>
  <c r="D51" i="1"/>
  <c r="B23" i="1"/>
  <c r="B24" i="1"/>
  <c r="B25" i="1"/>
  <c r="B26" i="1"/>
  <c r="B27" i="1"/>
  <c r="B30" i="1"/>
  <c r="B51" i="1"/>
  <c r="B52" i="1"/>
  <c r="B53" i="1"/>
  <c r="B54" i="1"/>
  <c r="B55" i="1"/>
  <c r="B56" i="1"/>
  <c r="B49" i="1"/>
  <c r="B50" i="1"/>
  <c r="B45" i="1"/>
  <c r="B46" i="1"/>
  <c r="B47" i="1"/>
  <c r="B48" i="1"/>
  <c r="B38" i="1"/>
  <c r="B39" i="1"/>
  <c r="B40" i="1"/>
  <c r="B41" i="1"/>
  <c r="B42" i="1"/>
  <c r="B43" i="1"/>
  <c r="B44" i="1"/>
  <c r="B37" i="1"/>
  <c r="B35" i="1"/>
  <c r="B36" i="1"/>
  <c r="B33" i="1"/>
  <c r="B34" i="1"/>
  <c r="B32" i="1"/>
  <c r="B31" i="1"/>
  <c r="B28" i="1"/>
  <c r="B29" i="1"/>
</calcChain>
</file>

<file path=xl/sharedStrings.xml><?xml version="1.0" encoding="utf-8"?>
<sst xmlns="http://schemas.openxmlformats.org/spreadsheetml/2006/main" count="155" uniqueCount="87">
  <si>
    <t>Description</t>
  </si>
  <si>
    <t>Remarques/problèmes</t>
  </si>
  <si>
    <t>Jour</t>
  </si>
  <si>
    <t>Temps [h]</t>
  </si>
  <si>
    <t>Type</t>
  </si>
  <si>
    <t>Types de tâches</t>
  </si>
  <si>
    <t>Analyse</t>
  </si>
  <si>
    <t>Implémentation</t>
  </si>
  <si>
    <t>Tests</t>
  </si>
  <si>
    <t>Documentation</t>
  </si>
  <si>
    <t>Absence</t>
  </si>
  <si>
    <t>Total général</t>
  </si>
  <si>
    <t>Semaine</t>
  </si>
  <si>
    <t>Somme de Temps [h]</t>
  </si>
  <si>
    <t>Début du projet</t>
  </si>
  <si>
    <t>Création de la documentation</t>
  </si>
  <si>
    <t>Installation et recherche sur le fonctionnement d'Android Studio</t>
  </si>
  <si>
    <t>Création du journal de bord</t>
  </si>
  <si>
    <t>Discussion à propos du cahier des charges</t>
  </si>
  <si>
    <t>Réinitialisation de la tablette</t>
  </si>
  <si>
    <t>Mise en place de la plannification initiale</t>
  </si>
  <si>
    <t>Recherche sur android studio</t>
  </si>
  <si>
    <t>Créationd de compte Trello et Repository Github</t>
  </si>
  <si>
    <t>Modification de la planification initiale</t>
  </si>
  <si>
    <t>Compréhension Github</t>
  </si>
  <si>
    <t>ABSENT</t>
  </si>
  <si>
    <t>Finalisation du Trello</t>
  </si>
  <si>
    <t>Ajout des documents dans Github</t>
  </si>
  <si>
    <t>Création de la maquette + comparaison avec d'autres application</t>
  </si>
  <si>
    <t>Premier jet des maquettes</t>
  </si>
  <si>
    <t>Création des uses cases &amp; scénarios</t>
  </si>
  <si>
    <t>Finition des uses cases &amp; scénarios</t>
  </si>
  <si>
    <t>Création d'un Hello World sous Android Studio</t>
  </si>
  <si>
    <t>Recherche pour que la tablette communique avec l'ordinateur pour installer le Hello World</t>
  </si>
  <si>
    <t xml:space="preserve">ABSENT </t>
  </si>
  <si>
    <t>Hello World</t>
  </si>
  <si>
    <t>Se documenter sur les possibilité pour créer la première interface/ Création d'une première application Android pour prendre en main l'environnement</t>
  </si>
  <si>
    <t xml:space="preserve">Se documenter suite + finition de la première application </t>
  </si>
  <si>
    <t>Création de la première page "accueil"</t>
  </si>
  <si>
    <t>Ecriture de la documentation : ajout des maquettes qui semblaient OK. Révisions des scénarios</t>
  </si>
  <si>
    <t>Explication sur comment faire les uses cases et scénarios avec le CdP</t>
  </si>
  <si>
    <t>N'avait pas encore reçu son CdC</t>
  </si>
  <si>
    <t>Sur la base du caneva fournis</t>
  </si>
  <si>
    <t>Sur les conseils de CdP -&gt; Tablette Android avec batterie vide</t>
  </si>
  <si>
    <t>Quelques modifications suite aux remarques du CdP</t>
  </si>
  <si>
    <t>Suivant les indications du CdP</t>
  </si>
  <si>
    <t>Un peu complexe</t>
  </si>
  <si>
    <t>Ajout des différents sprint, description etc..</t>
  </si>
  <si>
    <t>Bloquée à cause de la communication entre l'ordinateur et la tablette. La version Android de la tablette étant assez veille, il y a eu quelques problèmes de compatibilité</t>
  </si>
  <si>
    <t>Quelques difficulté avec la toolbar, révision de la méthode -&gt; Probablement partir sur une autre mise en page sous AS</t>
  </si>
  <si>
    <t>Aucun résultat probant, continue les recherches</t>
  </si>
  <si>
    <t>Priorité à mettre sur les uses cases</t>
  </si>
  <si>
    <t>Ajustement du journal de travail</t>
  </si>
  <si>
    <t>Queques soucis et modifs persos</t>
  </si>
  <si>
    <t>Modification des uses cases scénarios</t>
  </si>
  <si>
    <t>Continue de travailler sur le sprint 1</t>
  </si>
  <si>
    <t>Temps [1/4h]</t>
  </si>
  <si>
    <t>Permis de conduire</t>
  </si>
  <si>
    <t>Médecin</t>
  </si>
  <si>
    <t>Retard train</t>
  </si>
  <si>
    <t>Aucune interface graphique/page présentable actuellement, rien de fonctionnel en tout cas</t>
  </si>
  <si>
    <t>Modification des maquettes, Uses cases &amp; scénario, ajout dans JT</t>
  </si>
  <si>
    <t>Recherche pour pouvoir créer la première page et rattraper mon retard puisque aucun de mes projets ne foonctionnaient</t>
  </si>
  <si>
    <t>Création de la première page "Accueil", ajout d'image slide</t>
  </si>
  <si>
    <t>Il reste à faire les boutons de l'action bar</t>
  </si>
  <si>
    <t>Ajout de la toolbar et des boutons + toast pour tester lefficacité des boutons</t>
  </si>
  <si>
    <t>Recherche Sqlite</t>
  </si>
  <si>
    <t>Création de la page d'Edition</t>
  </si>
  <si>
    <t>Mise en place des différent champs dans la page édition, liaison des deux pages ensemble</t>
  </si>
  <si>
    <t>Quelques soucis d'affichage à corriger car tous les éléments se tassent vers le haut</t>
  </si>
  <si>
    <t>Modification de la page Edition pour pouvoir afficher correctement les éléments</t>
  </si>
  <si>
    <t>Ajout de page XML pour que l'application soit responsive sur la tablette et les téléphone + création de la base de donnée SQLite pour affiche les informations</t>
  </si>
  <si>
    <t>Fonction d'ajout donnée, d'affichage et d'édition de donnée est OK. La base de données est fonctionnelle</t>
  </si>
  <si>
    <t>Peut uniquement ajouter le pseudo &amp; la description / Affiche la page d'édition en premier</t>
  </si>
  <si>
    <t>Recherche pour afficher les activités correctement &amp; pour enregistrer les données radio</t>
  </si>
  <si>
    <t>Une base de donnée pour la liste déroulante fut une échec, la base de donnée ne peut apparemment pas se remplir au démarrage de l'application et je n'avais pas envie de perdre du temps à résoudre ce problème, alors je suis donc partie sur comment récupéré les données lorsque l'utilisateur veut étider ses données mais impossible de les récupéré sur le radio et le spinner.</t>
  </si>
  <si>
    <t>J'ai pu récupéré les données du radio button et de la liste déroulante (Spinner)</t>
  </si>
  <si>
    <t>J'ai essayé de faire une liste déroulante optimisée en créant une table qui contenait les pays mais sans succès. J'ai fait quelques modifications dans le code pour corriger la base de donnée et de pouvoir récupéré les données du radio button ainsi que du spinner mais sans succès non plus, alors je n'ai pas voulu perdre plus de temps là dessus alors j'ai supprimé ma nouvelle table et j'ai remis les données manuellement dans le spinner et j'ai laissé comme tel pour la page d'édition</t>
  </si>
  <si>
    <t>1er essait pour ajouter les images dans l'application ainsi que dans la BD</t>
  </si>
  <si>
    <t xml:space="preserve">Pas réussi à afficher les images </t>
  </si>
  <si>
    <t>Je peux réafficher la séléction du genre dans la page d'édition</t>
  </si>
  <si>
    <t xml:space="preserve">Le CdP m'a aid à résoudre deux trois soucis avec l'application </t>
  </si>
  <si>
    <t>J'ai créer la table pour enregistrer les pays et j'ai pu les afficher dans la liste déroulante</t>
  </si>
  <si>
    <t>Il faut que je ressorte les données choisies dans la page d'édition</t>
  </si>
  <si>
    <t>Les problèmes avec les radios buttons et le spinner ont été résolu, je peux sans problème ressortir les donnée dans la page d'édition. J'ai supprimé les codes correspondant à l'insertion d'image car je voudrais faire en URI et non pas en BLOB</t>
  </si>
  <si>
    <t>Recherche encore pour les images</t>
  </si>
  <si>
    <t>MALADE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</si>
</sst>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ddd\,\ d\.\ mmmm\ yyyy;@"/>
  </numFmts>
  <fonts count="6" x14ac:knownFonts="1">
    <font>
      <sz val="11"/>
      <color theme="1"/>
      <name val="Calibri"/>
      <family val="2"/>
      <scheme val="minor"/>
    </font>
    <font>
      <b/>
      <sz val="12"/>
      <color theme="1"/>
      <name val="Calibri"/>
      <family val="2"/>
      <scheme val="minor"/>
    </font>
    <font>
      <b/>
      <u/>
      <sz val="11"/>
      <color theme="1"/>
      <name val="Calibri"/>
      <family val="2"/>
      <scheme val="minor"/>
    </font>
    <font>
      <u/>
      <sz val="11"/>
      <color theme="10"/>
      <name val="Calibri"/>
      <family val="2"/>
      <scheme val="minor"/>
    </font>
    <font>
      <u/>
      <sz val="11"/>
      <color theme="1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4" fontId="1" fillId="2" borderId="1" xfId="0" applyNumberFormat="1" applyFont="1" applyFill="1" applyBorder="1" applyAlignment="1" applyProtection="1">
      <alignment horizontal="center" vertical="center"/>
      <protection locked="0"/>
    </xf>
    <xf numFmtId="164" fontId="0" fillId="0" borderId="1" xfId="0" applyNumberFormat="1" applyBorder="1" applyAlignment="1" applyProtection="1">
      <alignment horizontal="center" vertical="center"/>
      <protection locked="0"/>
    </xf>
    <xf numFmtId="164" fontId="0" fillId="0" borderId="0" xfId="0" applyNumberFormat="1"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2" fontId="0" fillId="0" borderId="1" xfId="0" applyNumberFormat="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1" fontId="1" fillId="2" borderId="1" xfId="0" applyNumberFormat="1" applyFont="1" applyFill="1" applyBorder="1" applyAlignment="1" applyProtection="1">
      <alignment horizontal="center" vertical="center"/>
      <protection locked="0"/>
    </xf>
    <xf numFmtId="1" fontId="0" fillId="0" borderId="1" xfId="0" applyNumberFormat="1" applyBorder="1" applyAlignment="1" applyProtection="1">
      <alignment horizontal="center" vertical="center"/>
      <protection locked="0"/>
    </xf>
    <xf numFmtId="1" fontId="0" fillId="0" borderId="0" xfId="0" applyNumberFormat="1" applyAlignment="1" applyProtection="1">
      <alignment horizontal="center" vertical="center"/>
      <protection locked="0"/>
    </xf>
    <xf numFmtId="2" fontId="0" fillId="0" borderId="0" xfId="0" applyNumberFormat="1"/>
    <xf numFmtId="0" fontId="0" fillId="0" borderId="1" xfId="0" quotePrefix="1" applyBorder="1" applyAlignment="1" applyProtection="1">
      <alignment horizontal="left" vertical="center" wrapText="1"/>
      <protection locked="0"/>
    </xf>
  </cellXfs>
  <cellStyles count="3">
    <cellStyle name="Lien hypertexte" xfId="1" builtinId="8" hidden="1"/>
    <cellStyle name="Lien hypertexte visité" xfId="2" builtinId="9" hidden="1"/>
    <cellStyle name="Normal" xfId="0" builtinId="0"/>
  </cellStyles>
  <dxfs count="1">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0</xdr:row>
          <xdr:rowOff>28575</xdr:rowOff>
        </xdr:from>
        <xdr:to>
          <xdr:col>5</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65.493121643522" createdVersion="4" refreshedVersion="6" minRefreshableVersion="3" recordCount="34">
  <cacheSource type="worksheet">
    <worksheetSource ref="A1:E55" sheet="Journal"/>
  </cacheSource>
  <cacheFields count="5">
    <cacheField name="Jour" numFmtId="164">
      <sharedItems containsSemiMixedTypes="0" containsNonDate="0" containsDate="1" containsString="0" minDate="2018-01-01T00:00:00" maxDate="2018-03-07T00:00:00" count="14">
        <d v="2018-03-06T00:00:00"/>
        <d v="2018-03-02T00:00:00"/>
        <d v="2018-03-01T00:00:00"/>
        <d v="2018-02-27T00:00:00"/>
        <d v="2018-02-16T00:00:00"/>
        <d v="2018-02-15T00:00:00"/>
        <d v="2018-02-13T00:00:00"/>
        <d v="2018-02-12T00:00:00"/>
        <d v="2018-02-09T00:00:00"/>
        <d v="2018-02-08T00:00:00"/>
        <d v="2018-02-06T00:00:00"/>
        <d v="2018-02-02T00:00:00"/>
        <d v="2018-02-01T00:00:00"/>
        <d v="2018-01-01T00:00:00" u="1"/>
      </sharedItems>
    </cacheField>
    <cacheField name="Semaine" numFmtId="1">
      <sharedItems containsSemiMixedTypes="0" containsString="0" containsNumber="1" containsInteger="1" minValue="5" maxValue="10"/>
    </cacheField>
    <cacheField name="Temps [1/4h]" numFmtId="1">
      <sharedItems containsSemiMixedTypes="0" containsString="0" containsNumber="1" containsInteger="1" minValue="0" maxValue="15"/>
    </cacheField>
    <cacheField name="Temps [h]" numFmtId="2">
      <sharedItems containsSemiMixedTypes="0" containsString="0" containsNumber="1" minValue="0" maxValue="3.75"/>
    </cacheField>
    <cacheField name="Type" numFmtId="0">
      <sharedItems count="5">
        <s v="Documentation"/>
        <s v="Implémentation"/>
        <s v="Analyse"/>
        <s v="Absenc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4">
  <r>
    <x v="0"/>
    <n v="10"/>
    <n v="4"/>
    <n v="1"/>
    <x v="0"/>
  </r>
  <r>
    <x v="1"/>
    <n v="9"/>
    <n v="3"/>
    <n v="0.75"/>
    <x v="1"/>
  </r>
  <r>
    <x v="1"/>
    <n v="9"/>
    <n v="2"/>
    <n v="0.5"/>
    <x v="2"/>
  </r>
  <r>
    <x v="1"/>
    <n v="9"/>
    <n v="3"/>
    <n v="0.75"/>
    <x v="2"/>
  </r>
  <r>
    <x v="1"/>
    <n v="9"/>
    <n v="3"/>
    <n v="0.75"/>
    <x v="2"/>
  </r>
  <r>
    <x v="2"/>
    <n v="9"/>
    <n v="6"/>
    <n v="1.5"/>
    <x v="3"/>
  </r>
  <r>
    <x v="2"/>
    <n v="9"/>
    <n v="12"/>
    <n v="3"/>
    <x v="1"/>
  </r>
  <r>
    <x v="2"/>
    <n v="9"/>
    <n v="6"/>
    <n v="1.5"/>
    <x v="2"/>
  </r>
  <r>
    <x v="2"/>
    <n v="9"/>
    <n v="6"/>
    <n v="1.5"/>
    <x v="3"/>
  </r>
  <r>
    <x v="3"/>
    <n v="9"/>
    <n v="9"/>
    <n v="2.25"/>
    <x v="2"/>
  </r>
  <r>
    <x v="4"/>
    <n v="7"/>
    <n v="9"/>
    <n v="2.25"/>
    <x v="1"/>
  </r>
  <r>
    <x v="5"/>
    <n v="7"/>
    <n v="15"/>
    <n v="3.75"/>
    <x v="2"/>
  </r>
  <r>
    <x v="5"/>
    <n v="7"/>
    <n v="9"/>
    <n v="2.25"/>
    <x v="2"/>
  </r>
  <r>
    <x v="6"/>
    <n v="7"/>
    <n v="6"/>
    <n v="1.5"/>
    <x v="3"/>
  </r>
  <r>
    <x v="7"/>
    <n v="7"/>
    <n v="9"/>
    <n v="2.25"/>
    <x v="2"/>
  </r>
  <r>
    <x v="8"/>
    <n v="6"/>
    <n v="6"/>
    <n v="1.5"/>
    <x v="2"/>
  </r>
  <r>
    <x v="9"/>
    <n v="6"/>
    <n v="2"/>
    <n v="0.5"/>
    <x v="2"/>
  </r>
  <r>
    <x v="9"/>
    <n v="6"/>
    <n v="1"/>
    <n v="0.25"/>
    <x v="2"/>
  </r>
  <r>
    <x v="9"/>
    <n v="6"/>
    <n v="9"/>
    <n v="2.25"/>
    <x v="2"/>
  </r>
  <r>
    <x v="9"/>
    <n v="6"/>
    <n v="3"/>
    <n v="0.75"/>
    <x v="2"/>
  </r>
  <r>
    <x v="9"/>
    <n v="6"/>
    <n v="6"/>
    <n v="1.5"/>
    <x v="2"/>
  </r>
  <r>
    <x v="9"/>
    <n v="6"/>
    <n v="2"/>
    <n v="0.5"/>
    <x v="2"/>
  </r>
  <r>
    <x v="9"/>
    <n v="6"/>
    <n v="3"/>
    <n v="0.75"/>
    <x v="2"/>
  </r>
  <r>
    <x v="10"/>
    <n v="6"/>
    <n v="1"/>
    <n v="0.25"/>
    <x v="2"/>
  </r>
  <r>
    <x v="10"/>
    <n v="6"/>
    <n v="1"/>
    <n v="0.25"/>
    <x v="2"/>
  </r>
  <r>
    <x v="10"/>
    <n v="6"/>
    <n v="1"/>
    <n v="0.25"/>
    <x v="2"/>
  </r>
  <r>
    <x v="10"/>
    <n v="6"/>
    <n v="6"/>
    <n v="1.5"/>
    <x v="3"/>
  </r>
  <r>
    <x v="11"/>
    <n v="5"/>
    <n v="2"/>
    <n v="0.5"/>
    <x v="2"/>
  </r>
  <r>
    <x v="11"/>
    <n v="5"/>
    <n v="3"/>
    <n v="0.75"/>
    <x v="2"/>
  </r>
  <r>
    <x v="12"/>
    <n v="5"/>
    <n v="0"/>
    <n v="0"/>
    <x v="2"/>
  </r>
  <r>
    <x v="12"/>
    <n v="5"/>
    <n v="1"/>
    <n v="0.25"/>
    <x v="0"/>
  </r>
  <r>
    <x v="12"/>
    <n v="5"/>
    <n v="8"/>
    <n v="2"/>
    <x v="2"/>
  </r>
  <r>
    <x v="12"/>
    <n v="5"/>
    <n v="1"/>
    <n v="0.25"/>
    <x v="0"/>
  </r>
  <r>
    <x v="12"/>
    <n v="5"/>
    <n v="1"/>
    <n v="0.25"/>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18" firstHeaderRow="1" firstDataRow="2" firstDataCol="1"/>
  <pivotFields count="5">
    <pivotField axis="axisRow" numFmtId="16" showAll="0">
      <items count="15">
        <item m="1" x="13"/>
        <item x="12"/>
        <item x="11"/>
        <item x="10"/>
        <item x="9"/>
        <item x="8"/>
        <item x="6"/>
        <item x="7"/>
        <item x="5"/>
        <item x="4"/>
        <item x="3"/>
        <item x="2"/>
        <item x="1"/>
        <item x="0"/>
        <item t="default"/>
      </items>
    </pivotField>
    <pivotField showAll="0"/>
    <pivotField numFmtId="1" showAll="0" defaultSubtotal="0"/>
    <pivotField dataField="1" showAll="0"/>
    <pivotField axis="axisCol" showAll="0">
      <items count="6">
        <item x="0"/>
        <item x="1"/>
        <item x="2"/>
        <item m="1" x="4"/>
        <item x="3"/>
        <item t="default"/>
      </items>
    </pivotField>
  </pivotFields>
  <rowFields count="1">
    <field x="0"/>
  </rowFields>
  <rowItems count="14">
    <i>
      <x v="1"/>
    </i>
    <i>
      <x v="2"/>
    </i>
    <i>
      <x v="3"/>
    </i>
    <i>
      <x v="4"/>
    </i>
    <i>
      <x v="5"/>
    </i>
    <i>
      <x v="6"/>
    </i>
    <i>
      <x v="7"/>
    </i>
    <i>
      <x v="8"/>
    </i>
    <i>
      <x v="9"/>
    </i>
    <i>
      <x v="10"/>
    </i>
    <i>
      <x v="11"/>
    </i>
    <i>
      <x v="12"/>
    </i>
    <i>
      <x v="13"/>
    </i>
    <i t="grand">
      <x/>
    </i>
  </rowItems>
  <colFields count="1">
    <field x="4"/>
  </colFields>
  <colItems count="5">
    <i>
      <x/>
    </i>
    <i>
      <x v="1"/>
    </i>
    <i>
      <x v="2"/>
    </i>
    <i>
      <x v="4"/>
    </i>
    <i t="grand">
      <x/>
    </i>
  </colItems>
  <dataFields count="1">
    <dataField name="Somme de Temps [h]" fld="3" baseField="0" baseItem="0" numFmtId="2"/>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J56"/>
  <sheetViews>
    <sheetView tabSelected="1" workbookViewId="0">
      <selection activeCell="D7" sqref="D7"/>
    </sheetView>
  </sheetViews>
  <sheetFormatPr baseColWidth="10" defaultColWidth="9.140625" defaultRowHeight="15" x14ac:dyDescent="0.25"/>
  <cols>
    <col min="1" max="1" width="28" style="18" customWidth="1"/>
    <col min="2" max="2" width="8.140625" style="15" bestFit="1" customWidth="1"/>
    <col min="3" max="3" width="13.7109375" style="24" customWidth="1"/>
    <col min="4" max="4" width="13.7109375" style="21" customWidth="1"/>
    <col min="5" max="5" width="16" style="6" customWidth="1"/>
    <col min="6" max="6" width="84.85546875" style="12" bestFit="1" customWidth="1"/>
    <col min="7" max="7" width="75.140625" style="12" customWidth="1"/>
    <col min="8" max="16384" width="9.140625" style="8"/>
  </cols>
  <sheetData>
    <row r="1" spans="1:10" ht="24" customHeight="1" x14ac:dyDescent="0.25">
      <c r="A1" s="16" t="s">
        <v>2</v>
      </c>
      <c r="B1" s="13" t="s">
        <v>12</v>
      </c>
      <c r="C1" s="22" t="s">
        <v>56</v>
      </c>
      <c r="D1" s="19" t="s">
        <v>3</v>
      </c>
      <c r="E1" s="5" t="s">
        <v>4</v>
      </c>
      <c r="F1" s="7" t="s">
        <v>0</v>
      </c>
      <c r="G1" s="7" t="s">
        <v>1</v>
      </c>
    </row>
    <row r="2" spans="1:10" x14ac:dyDescent="0.25">
      <c r="A2" s="17">
        <v>43207</v>
      </c>
      <c r="B2" s="14">
        <f t="shared" ref="B2" si="0">WEEKNUM(A2)</f>
        <v>16</v>
      </c>
      <c r="C2" s="23"/>
      <c r="D2" s="20">
        <f t="shared" ref="D2" si="1">C2/4</f>
        <v>0</v>
      </c>
      <c r="E2" s="9" t="s">
        <v>10</v>
      </c>
      <c r="F2" s="10"/>
      <c r="G2" s="26"/>
      <c r="J2" s="11"/>
    </row>
    <row r="3" spans="1:10" x14ac:dyDescent="0.25">
      <c r="A3" s="17">
        <v>43188</v>
      </c>
      <c r="B3" s="14">
        <f t="shared" ref="B3" si="2">WEEKNUM(A3)</f>
        <v>13</v>
      </c>
      <c r="C3" s="23">
        <v>24</v>
      </c>
      <c r="D3" s="20">
        <f t="shared" ref="D3" si="3">C3/4</f>
        <v>6</v>
      </c>
      <c r="E3" s="9" t="s">
        <v>10</v>
      </c>
      <c r="F3" s="10" t="s">
        <v>86</v>
      </c>
      <c r="G3" s="26"/>
      <c r="J3" s="11"/>
    </row>
    <row r="4" spans="1:10" x14ac:dyDescent="0.25">
      <c r="A4" s="17">
        <v>43186</v>
      </c>
      <c r="B4" s="14">
        <f t="shared" ref="B4" si="4">WEEKNUM(A4)</f>
        <v>13</v>
      </c>
      <c r="C4" s="23">
        <v>18</v>
      </c>
      <c r="D4" s="20">
        <f t="shared" ref="D4" si="5">C4/4</f>
        <v>4.5</v>
      </c>
      <c r="E4" s="9" t="s">
        <v>10</v>
      </c>
      <c r="F4" s="10" t="s">
        <v>86</v>
      </c>
      <c r="G4" s="26"/>
      <c r="J4" s="11"/>
    </row>
    <row r="5" spans="1:10" ht="45" x14ac:dyDescent="0.25">
      <c r="A5" s="17">
        <v>43182</v>
      </c>
      <c r="B5" s="14">
        <f t="shared" ref="B5" si="6">WEEKNUM(A5)</f>
        <v>12</v>
      </c>
      <c r="C5" s="23">
        <v>6</v>
      </c>
      <c r="D5" s="20">
        <f t="shared" ref="D5" si="7">C5/4</f>
        <v>1.5</v>
      </c>
      <c r="E5" s="9" t="s">
        <v>7</v>
      </c>
      <c r="F5" s="10" t="s">
        <v>84</v>
      </c>
      <c r="G5" s="26" t="s">
        <v>85</v>
      </c>
      <c r="J5" s="11"/>
    </row>
    <row r="6" spans="1:10" x14ac:dyDescent="0.25">
      <c r="A6" s="17">
        <v>43182</v>
      </c>
      <c r="B6" s="14">
        <f t="shared" ref="B6" si="8">WEEKNUM(A6)</f>
        <v>12</v>
      </c>
      <c r="C6" s="23">
        <v>3</v>
      </c>
      <c r="D6" s="20">
        <f t="shared" ref="D6" si="9">C6/4</f>
        <v>0.75</v>
      </c>
      <c r="E6" s="9" t="s">
        <v>7</v>
      </c>
      <c r="F6" s="10" t="s">
        <v>82</v>
      </c>
      <c r="G6" s="26" t="s">
        <v>83</v>
      </c>
      <c r="J6" s="11"/>
    </row>
    <row r="7" spans="1:10" x14ac:dyDescent="0.25">
      <c r="A7" s="17">
        <v>43181</v>
      </c>
      <c r="B7" s="14">
        <f t="shared" ref="B7" si="10">WEEKNUM(A7)</f>
        <v>12</v>
      </c>
      <c r="C7" s="23">
        <v>6</v>
      </c>
      <c r="D7" s="20">
        <f t="shared" ref="D7" si="11">C7/4</f>
        <v>1.5</v>
      </c>
      <c r="E7" s="9" t="s">
        <v>7</v>
      </c>
      <c r="F7" s="10" t="s">
        <v>81</v>
      </c>
      <c r="G7" s="26" t="s">
        <v>80</v>
      </c>
      <c r="J7" s="11"/>
    </row>
    <row r="8" spans="1:10" x14ac:dyDescent="0.25">
      <c r="A8" s="17">
        <v>43181</v>
      </c>
      <c r="B8" s="14">
        <f t="shared" ref="B8" si="12">WEEKNUM(A8)</f>
        <v>12</v>
      </c>
      <c r="C8" s="23">
        <v>18</v>
      </c>
      <c r="D8" s="20">
        <f t="shared" ref="D8" si="13">C8/4</f>
        <v>4.5</v>
      </c>
      <c r="E8" s="9" t="s">
        <v>7</v>
      </c>
      <c r="F8" s="10" t="s">
        <v>78</v>
      </c>
      <c r="G8" s="26" t="s">
        <v>79</v>
      </c>
      <c r="J8" s="11"/>
    </row>
    <row r="9" spans="1:10" ht="90" x14ac:dyDescent="0.25">
      <c r="A9" s="17">
        <v>43179</v>
      </c>
      <c r="B9" s="14">
        <f t="shared" ref="B9" si="14">WEEKNUM(A9)</f>
        <v>12</v>
      </c>
      <c r="C9" s="23">
        <v>15</v>
      </c>
      <c r="D9" s="20">
        <f t="shared" ref="D9" si="15">C9/4</f>
        <v>3.75</v>
      </c>
      <c r="E9" s="9" t="s">
        <v>7</v>
      </c>
      <c r="F9" s="10" t="s">
        <v>77</v>
      </c>
      <c r="G9" s="26" t="s">
        <v>75</v>
      </c>
      <c r="J9" s="11"/>
    </row>
    <row r="10" spans="1:10" x14ac:dyDescent="0.25">
      <c r="A10" s="17">
        <v>43175</v>
      </c>
      <c r="B10" s="14">
        <f t="shared" ref="B10" si="16">WEEKNUM(A10)</f>
        <v>11</v>
      </c>
      <c r="C10" s="23">
        <v>6</v>
      </c>
      <c r="D10" s="20">
        <f t="shared" ref="D10" si="17">C10/4</f>
        <v>1.5</v>
      </c>
      <c r="E10" s="9" t="s">
        <v>7</v>
      </c>
      <c r="F10" s="10" t="s">
        <v>76</v>
      </c>
      <c r="G10" s="8"/>
      <c r="J10" s="11"/>
    </row>
    <row r="11" spans="1:10" x14ac:dyDescent="0.25">
      <c r="A11" s="17">
        <v>43174</v>
      </c>
      <c r="B11" s="14">
        <f t="shared" ref="B11" si="18">WEEKNUM(A11)</f>
        <v>11</v>
      </c>
      <c r="C11" s="23">
        <v>6</v>
      </c>
      <c r="D11" s="20">
        <f t="shared" ref="D11" si="19">C11/4</f>
        <v>1.5</v>
      </c>
      <c r="E11" s="9" t="s">
        <v>7</v>
      </c>
      <c r="F11" s="10" t="s">
        <v>74</v>
      </c>
      <c r="G11" s="26"/>
      <c r="J11" s="11"/>
    </row>
    <row r="12" spans="1:10" ht="30" x14ac:dyDescent="0.25">
      <c r="A12" s="17">
        <v>43174</v>
      </c>
      <c r="B12" s="14">
        <f t="shared" ref="B12" si="20">WEEKNUM(A12)</f>
        <v>11</v>
      </c>
      <c r="C12" s="23">
        <v>18</v>
      </c>
      <c r="D12" s="20">
        <f t="shared" ref="D12" si="21">C12/4</f>
        <v>4.5</v>
      </c>
      <c r="E12" s="9" t="s">
        <v>7</v>
      </c>
      <c r="F12" s="10" t="s">
        <v>72</v>
      </c>
      <c r="G12" s="26" t="s">
        <v>73</v>
      </c>
      <c r="J12" s="11"/>
    </row>
    <row r="13" spans="1:10" ht="30" x14ac:dyDescent="0.25">
      <c r="A13" s="17">
        <v>43172</v>
      </c>
      <c r="B13" s="14">
        <f t="shared" ref="B13" si="22">WEEKNUM(A13)</f>
        <v>11</v>
      </c>
      <c r="C13" s="23">
        <v>9</v>
      </c>
      <c r="D13" s="20">
        <f t="shared" ref="D13" si="23">C13/4</f>
        <v>2.25</v>
      </c>
      <c r="E13" s="9" t="s">
        <v>7</v>
      </c>
      <c r="F13" s="10" t="s">
        <v>71</v>
      </c>
      <c r="G13" s="10"/>
      <c r="J13" s="11"/>
    </row>
    <row r="14" spans="1:10" x14ac:dyDescent="0.25">
      <c r="A14" s="17">
        <v>43172</v>
      </c>
      <c r="B14" s="14">
        <f t="shared" ref="B14" si="24">WEEKNUM(A14)</f>
        <v>11</v>
      </c>
      <c r="C14" s="23">
        <v>6</v>
      </c>
      <c r="D14" s="20">
        <f t="shared" ref="D14" si="25">C14/4</f>
        <v>1.5</v>
      </c>
      <c r="E14" s="9" t="s">
        <v>7</v>
      </c>
      <c r="F14" s="10" t="s">
        <v>70</v>
      </c>
      <c r="G14" s="10"/>
      <c r="J14" s="11"/>
    </row>
    <row r="15" spans="1:10" x14ac:dyDescent="0.25">
      <c r="A15" s="17">
        <v>43168</v>
      </c>
      <c r="B15" s="14">
        <f t="shared" ref="B15" si="26">WEEKNUM(A15)</f>
        <v>10</v>
      </c>
      <c r="C15" s="23">
        <v>6</v>
      </c>
      <c r="D15" s="20">
        <f t="shared" ref="D15" si="27">C15/4</f>
        <v>1.5</v>
      </c>
      <c r="E15" s="9" t="s">
        <v>7</v>
      </c>
      <c r="F15" s="10" t="s">
        <v>68</v>
      </c>
      <c r="G15" s="10" t="s">
        <v>69</v>
      </c>
      <c r="J15" s="11"/>
    </row>
    <row r="16" spans="1:10" x14ac:dyDescent="0.25">
      <c r="A16" s="17">
        <v>43168</v>
      </c>
      <c r="B16" s="14">
        <f t="shared" ref="B16" si="28">WEEKNUM(A16)</f>
        <v>10</v>
      </c>
      <c r="C16" s="23">
        <v>6</v>
      </c>
      <c r="D16" s="20">
        <f t="shared" ref="D16" si="29">C16/4</f>
        <v>1.5</v>
      </c>
      <c r="E16" s="9" t="s">
        <v>7</v>
      </c>
      <c r="F16" s="10" t="s">
        <v>68</v>
      </c>
      <c r="G16" s="10" t="s">
        <v>69</v>
      </c>
      <c r="J16" s="11"/>
    </row>
    <row r="17" spans="1:10" x14ac:dyDescent="0.25">
      <c r="A17" s="17">
        <v>43167</v>
      </c>
      <c r="B17" s="14">
        <f t="shared" ref="B17" si="30">WEEKNUM(A17)</f>
        <v>10</v>
      </c>
      <c r="C17" s="23">
        <v>6</v>
      </c>
      <c r="D17" s="20">
        <f t="shared" ref="D17" si="31">C17/4</f>
        <v>1.5</v>
      </c>
      <c r="E17" s="9" t="s">
        <v>7</v>
      </c>
      <c r="F17" s="10" t="s">
        <v>67</v>
      </c>
      <c r="G17" s="10"/>
      <c r="J17" s="11"/>
    </row>
    <row r="18" spans="1:10" x14ac:dyDescent="0.25">
      <c r="A18" s="17">
        <v>43167</v>
      </c>
      <c r="B18" s="14">
        <f t="shared" ref="B18" si="32">WEEKNUM(A18)</f>
        <v>10</v>
      </c>
      <c r="C18" s="23">
        <v>6</v>
      </c>
      <c r="D18" s="20">
        <f t="shared" ref="D18" si="33">C18/4</f>
        <v>1.5</v>
      </c>
      <c r="E18" s="9" t="s">
        <v>7</v>
      </c>
      <c r="F18" s="10" t="s">
        <v>66</v>
      </c>
      <c r="G18" s="10"/>
      <c r="J18" s="11"/>
    </row>
    <row r="19" spans="1:10" x14ac:dyDescent="0.25">
      <c r="A19" s="17">
        <v>43167</v>
      </c>
      <c r="B19" s="14">
        <f t="shared" ref="B19" si="34">WEEKNUM(A19)</f>
        <v>10</v>
      </c>
      <c r="C19" s="23">
        <v>12</v>
      </c>
      <c r="D19" s="20">
        <f t="shared" ref="D19" si="35">C19/4</f>
        <v>3</v>
      </c>
      <c r="E19" s="9" t="s">
        <v>7</v>
      </c>
      <c r="F19" s="10" t="s">
        <v>65</v>
      </c>
      <c r="G19" s="10"/>
      <c r="J19" s="11"/>
    </row>
    <row r="20" spans="1:10" x14ac:dyDescent="0.25">
      <c r="A20" s="17">
        <v>43165</v>
      </c>
      <c r="B20" s="14">
        <f t="shared" ref="B20" si="36">WEEKNUM(A20)</f>
        <v>10</v>
      </c>
      <c r="C20" s="23">
        <v>6</v>
      </c>
      <c r="D20" s="20">
        <f t="shared" ref="D20" si="37">C20/4</f>
        <v>1.5</v>
      </c>
      <c r="E20" s="9" t="s">
        <v>7</v>
      </c>
      <c r="F20" s="10" t="s">
        <v>63</v>
      </c>
      <c r="G20" s="10" t="s">
        <v>64</v>
      </c>
      <c r="J20" s="11"/>
    </row>
    <row r="21" spans="1:10" ht="30" x14ac:dyDescent="0.25">
      <c r="A21" s="17">
        <v>43165</v>
      </c>
      <c r="B21" s="14">
        <f t="shared" ref="B21" si="38">WEEKNUM(A21)</f>
        <v>10</v>
      </c>
      <c r="C21" s="23">
        <v>2</v>
      </c>
      <c r="D21" s="20">
        <f t="shared" ref="D21" si="39">C21/4</f>
        <v>0.5</v>
      </c>
      <c r="E21" s="9" t="s">
        <v>6</v>
      </c>
      <c r="F21" s="10" t="s">
        <v>62</v>
      </c>
      <c r="G21" s="10"/>
      <c r="J21" s="11"/>
    </row>
    <row r="22" spans="1:10" x14ac:dyDescent="0.25">
      <c r="A22" s="17">
        <v>43165</v>
      </c>
      <c r="B22" s="14">
        <f t="shared" ref="B22:B56" si="40">WEEKNUM(A22)</f>
        <v>10</v>
      </c>
      <c r="C22" s="23">
        <v>4</v>
      </c>
      <c r="D22" s="20">
        <f t="shared" ref="D22:D56" si="41">C22/4</f>
        <v>1</v>
      </c>
      <c r="E22" s="9" t="s">
        <v>9</v>
      </c>
      <c r="F22" s="10" t="s">
        <v>61</v>
      </c>
      <c r="G22" s="10"/>
      <c r="J22" s="11"/>
    </row>
    <row r="23" spans="1:10" ht="30" x14ac:dyDescent="0.25">
      <c r="A23" s="17">
        <v>43161</v>
      </c>
      <c r="B23" s="14">
        <f t="shared" si="40"/>
        <v>9</v>
      </c>
      <c r="C23" s="23">
        <v>3</v>
      </c>
      <c r="D23" s="20">
        <f t="shared" si="41"/>
        <v>0.75</v>
      </c>
      <c r="E23" s="9" t="s">
        <v>7</v>
      </c>
      <c r="F23" s="10" t="s">
        <v>55</v>
      </c>
      <c r="G23" s="10" t="s">
        <v>60</v>
      </c>
      <c r="J23" s="11"/>
    </row>
    <row r="24" spans="1:10" x14ac:dyDescent="0.25">
      <c r="A24" s="17">
        <v>43161</v>
      </c>
      <c r="B24" s="14">
        <f t="shared" si="40"/>
        <v>9</v>
      </c>
      <c r="C24" s="23">
        <v>2</v>
      </c>
      <c r="D24" s="20">
        <f t="shared" si="41"/>
        <v>0.5</v>
      </c>
      <c r="E24" s="9" t="s">
        <v>6</v>
      </c>
      <c r="F24" s="10" t="s">
        <v>54</v>
      </c>
      <c r="G24" s="10"/>
      <c r="J24" s="11"/>
    </row>
    <row r="25" spans="1:10" x14ac:dyDescent="0.25">
      <c r="A25" s="17">
        <v>43161</v>
      </c>
      <c r="B25" s="14">
        <f t="shared" si="40"/>
        <v>9</v>
      </c>
      <c r="C25" s="23">
        <v>3</v>
      </c>
      <c r="D25" s="20">
        <f t="shared" si="41"/>
        <v>0.75</v>
      </c>
      <c r="E25" s="9" t="s">
        <v>6</v>
      </c>
      <c r="F25" s="10" t="s">
        <v>54</v>
      </c>
      <c r="G25" s="10"/>
      <c r="J25" s="11"/>
    </row>
    <row r="26" spans="1:10" x14ac:dyDescent="0.25">
      <c r="A26" s="17">
        <v>43161</v>
      </c>
      <c r="B26" s="14">
        <f t="shared" si="40"/>
        <v>9</v>
      </c>
      <c r="C26" s="23">
        <v>3</v>
      </c>
      <c r="D26" s="20">
        <f t="shared" si="41"/>
        <v>0.75</v>
      </c>
      <c r="E26" s="9" t="s">
        <v>6</v>
      </c>
      <c r="F26" s="10" t="s">
        <v>52</v>
      </c>
      <c r="G26" s="10" t="s">
        <v>53</v>
      </c>
      <c r="J26" s="11"/>
    </row>
    <row r="27" spans="1:10" x14ac:dyDescent="0.25">
      <c r="A27" s="17">
        <v>43160</v>
      </c>
      <c r="B27" s="14">
        <f t="shared" si="40"/>
        <v>9</v>
      </c>
      <c r="C27" s="23">
        <v>6</v>
      </c>
      <c r="D27" s="20">
        <f t="shared" si="41"/>
        <v>1.5</v>
      </c>
      <c r="E27" s="9" t="s">
        <v>10</v>
      </c>
      <c r="F27" s="10" t="s">
        <v>25</v>
      </c>
      <c r="G27" s="10" t="s">
        <v>59</v>
      </c>
      <c r="J27" s="11"/>
    </row>
    <row r="28" spans="1:10" x14ac:dyDescent="0.25">
      <c r="A28" s="17">
        <v>43160</v>
      </c>
      <c r="B28" s="14">
        <f t="shared" si="40"/>
        <v>9</v>
      </c>
      <c r="C28" s="23">
        <v>12</v>
      </c>
      <c r="D28" s="20">
        <f t="shared" si="41"/>
        <v>3</v>
      </c>
      <c r="E28" s="9" t="s">
        <v>7</v>
      </c>
      <c r="F28" s="10" t="s">
        <v>38</v>
      </c>
      <c r="G28" s="10" t="s">
        <v>50</v>
      </c>
      <c r="J28" s="11"/>
    </row>
    <row r="29" spans="1:10" x14ac:dyDescent="0.25">
      <c r="A29" s="17">
        <v>43160</v>
      </c>
      <c r="B29" s="14">
        <f t="shared" si="40"/>
        <v>9</v>
      </c>
      <c r="C29" s="23">
        <v>6</v>
      </c>
      <c r="D29" s="20">
        <f t="shared" si="41"/>
        <v>1.5</v>
      </c>
      <c r="E29" s="9" t="s">
        <v>6</v>
      </c>
      <c r="F29" s="10" t="s">
        <v>40</v>
      </c>
      <c r="G29" s="10" t="s">
        <v>51</v>
      </c>
      <c r="J29" s="11"/>
    </row>
    <row r="30" spans="1:10" x14ac:dyDescent="0.25">
      <c r="A30" s="17">
        <v>43160</v>
      </c>
      <c r="B30" s="14">
        <f t="shared" si="40"/>
        <v>9</v>
      </c>
      <c r="C30" s="23">
        <v>6</v>
      </c>
      <c r="D30" s="20">
        <f t="shared" si="41"/>
        <v>1.5</v>
      </c>
      <c r="E30" s="9" t="s">
        <v>10</v>
      </c>
      <c r="F30" s="10" t="s">
        <v>25</v>
      </c>
      <c r="G30" s="10" t="s">
        <v>59</v>
      </c>
      <c r="J30" s="11"/>
    </row>
    <row r="31" spans="1:10" ht="30" x14ac:dyDescent="0.25">
      <c r="A31" s="17">
        <v>43158</v>
      </c>
      <c r="B31" s="14">
        <f t="shared" si="40"/>
        <v>9</v>
      </c>
      <c r="C31" s="23">
        <v>9</v>
      </c>
      <c r="D31" s="20">
        <f t="shared" si="41"/>
        <v>2.25</v>
      </c>
      <c r="E31" s="9" t="s">
        <v>6</v>
      </c>
      <c r="F31" s="10" t="s">
        <v>39</v>
      </c>
      <c r="G31" s="10"/>
      <c r="J31" s="11"/>
    </row>
    <row r="32" spans="1:10" ht="30" x14ac:dyDescent="0.25">
      <c r="A32" s="17">
        <v>43147</v>
      </c>
      <c r="B32" s="14">
        <f t="shared" si="40"/>
        <v>7</v>
      </c>
      <c r="C32" s="23">
        <v>9</v>
      </c>
      <c r="D32" s="20">
        <f t="shared" si="41"/>
        <v>2.25</v>
      </c>
      <c r="E32" s="9" t="s">
        <v>7</v>
      </c>
      <c r="F32" s="10" t="s">
        <v>38</v>
      </c>
      <c r="G32" s="10" t="s">
        <v>49</v>
      </c>
      <c r="J32" s="11"/>
    </row>
    <row r="33" spans="1:10" ht="30" x14ac:dyDescent="0.25">
      <c r="A33" s="17">
        <v>43146</v>
      </c>
      <c r="B33" s="14">
        <f t="shared" si="40"/>
        <v>7</v>
      </c>
      <c r="C33" s="23">
        <v>15</v>
      </c>
      <c r="D33" s="20">
        <f t="shared" si="41"/>
        <v>3.75</v>
      </c>
      <c r="E33" s="9" t="s">
        <v>6</v>
      </c>
      <c r="F33" s="10" t="s">
        <v>36</v>
      </c>
      <c r="G33" s="10"/>
      <c r="J33" s="11"/>
    </row>
    <row r="34" spans="1:10" x14ac:dyDescent="0.25">
      <c r="A34" s="17">
        <v>43146</v>
      </c>
      <c r="B34" s="14">
        <f t="shared" si="40"/>
        <v>7</v>
      </c>
      <c r="C34" s="23">
        <v>9</v>
      </c>
      <c r="D34" s="20">
        <f t="shared" si="41"/>
        <v>2.25</v>
      </c>
      <c r="E34" s="9" t="s">
        <v>6</v>
      </c>
      <c r="F34" s="10" t="s">
        <v>37</v>
      </c>
      <c r="G34" s="10"/>
      <c r="J34" s="11"/>
    </row>
    <row r="35" spans="1:10" x14ac:dyDescent="0.25">
      <c r="A35" s="17">
        <v>43144</v>
      </c>
      <c r="B35" s="14">
        <f t="shared" si="40"/>
        <v>7</v>
      </c>
      <c r="C35" s="23">
        <v>6</v>
      </c>
      <c r="D35" s="20">
        <f t="shared" si="41"/>
        <v>1.5</v>
      </c>
      <c r="E35" s="9" t="s">
        <v>10</v>
      </c>
      <c r="F35" s="10" t="s">
        <v>34</v>
      </c>
      <c r="G35" s="10" t="s">
        <v>58</v>
      </c>
      <c r="J35" s="11"/>
    </row>
    <row r="36" spans="1:10" ht="45" x14ac:dyDescent="0.25">
      <c r="A36" s="17">
        <v>43143</v>
      </c>
      <c r="B36" s="14">
        <f t="shared" si="40"/>
        <v>7</v>
      </c>
      <c r="C36" s="23">
        <v>9</v>
      </c>
      <c r="D36" s="20">
        <f t="shared" si="41"/>
        <v>2.25</v>
      </c>
      <c r="E36" s="9" t="s">
        <v>6</v>
      </c>
      <c r="F36" s="10" t="s">
        <v>35</v>
      </c>
      <c r="G36" s="10" t="s">
        <v>48</v>
      </c>
      <c r="J36" s="11"/>
    </row>
    <row r="37" spans="1:10" x14ac:dyDescent="0.25">
      <c r="A37" s="17">
        <v>43140</v>
      </c>
      <c r="B37" s="14">
        <f t="shared" si="40"/>
        <v>6</v>
      </c>
      <c r="C37" s="23">
        <v>6</v>
      </c>
      <c r="D37" s="20">
        <f t="shared" si="41"/>
        <v>1.5</v>
      </c>
      <c r="E37" s="9" t="s">
        <v>6</v>
      </c>
      <c r="F37" s="10" t="s">
        <v>33</v>
      </c>
      <c r="G37" s="10"/>
      <c r="J37" s="11"/>
    </row>
    <row r="38" spans="1:10" x14ac:dyDescent="0.25">
      <c r="A38" s="17">
        <v>43139</v>
      </c>
      <c r="B38" s="14">
        <f t="shared" si="40"/>
        <v>6</v>
      </c>
      <c r="C38" s="23">
        <v>2</v>
      </c>
      <c r="D38" s="20">
        <f t="shared" si="41"/>
        <v>0.5</v>
      </c>
      <c r="E38" s="9" t="s">
        <v>6</v>
      </c>
      <c r="F38" s="10" t="s">
        <v>26</v>
      </c>
      <c r="G38" s="10" t="s">
        <v>47</v>
      </c>
      <c r="J38" s="11"/>
    </row>
    <row r="39" spans="1:10" x14ac:dyDescent="0.25">
      <c r="A39" s="17">
        <v>43139</v>
      </c>
      <c r="B39" s="14">
        <f t="shared" si="40"/>
        <v>6</v>
      </c>
      <c r="C39" s="23">
        <v>1</v>
      </c>
      <c r="D39" s="20">
        <f t="shared" si="41"/>
        <v>0.25</v>
      </c>
      <c r="E39" s="9" t="s">
        <v>6</v>
      </c>
      <c r="F39" s="10" t="s">
        <v>27</v>
      </c>
      <c r="G39" s="10"/>
      <c r="J39" s="11"/>
    </row>
    <row r="40" spans="1:10" x14ac:dyDescent="0.25">
      <c r="A40" s="17">
        <v>43139</v>
      </c>
      <c r="B40" s="14">
        <f t="shared" si="40"/>
        <v>6</v>
      </c>
      <c r="C40" s="23">
        <v>9</v>
      </c>
      <c r="D40" s="20">
        <f t="shared" si="41"/>
        <v>2.25</v>
      </c>
      <c r="E40" s="9" t="s">
        <v>6</v>
      </c>
      <c r="F40" s="10" t="s">
        <v>28</v>
      </c>
      <c r="G40" s="10"/>
      <c r="J40" s="11"/>
    </row>
    <row r="41" spans="1:10" x14ac:dyDescent="0.25">
      <c r="A41" s="17">
        <v>43139</v>
      </c>
      <c r="B41" s="14">
        <f t="shared" si="40"/>
        <v>6</v>
      </c>
      <c r="C41" s="23">
        <v>3</v>
      </c>
      <c r="D41" s="20">
        <f t="shared" si="41"/>
        <v>0.75</v>
      </c>
      <c r="E41" s="9" t="s">
        <v>6</v>
      </c>
      <c r="F41" s="10" t="s">
        <v>29</v>
      </c>
      <c r="G41" s="10"/>
      <c r="J41" s="11"/>
    </row>
    <row r="42" spans="1:10" x14ac:dyDescent="0.25">
      <c r="A42" s="17">
        <v>43139</v>
      </c>
      <c r="B42" s="14">
        <f t="shared" si="40"/>
        <v>6</v>
      </c>
      <c r="C42" s="23">
        <v>6</v>
      </c>
      <c r="D42" s="20">
        <f t="shared" si="41"/>
        <v>1.5</v>
      </c>
      <c r="E42" s="9" t="s">
        <v>6</v>
      </c>
      <c r="F42" s="10" t="s">
        <v>30</v>
      </c>
      <c r="G42" s="10"/>
      <c r="J42" s="11"/>
    </row>
    <row r="43" spans="1:10" x14ac:dyDescent="0.25">
      <c r="A43" s="17">
        <v>43139</v>
      </c>
      <c r="B43" s="14">
        <f t="shared" si="40"/>
        <v>6</v>
      </c>
      <c r="C43" s="23">
        <v>2</v>
      </c>
      <c r="D43" s="20">
        <f t="shared" si="41"/>
        <v>0.5</v>
      </c>
      <c r="E43" s="9" t="s">
        <v>6</v>
      </c>
      <c r="F43" s="10" t="s">
        <v>31</v>
      </c>
      <c r="G43" s="10"/>
      <c r="J43" s="11"/>
    </row>
    <row r="44" spans="1:10" x14ac:dyDescent="0.25">
      <c r="A44" s="17">
        <v>43139</v>
      </c>
      <c r="B44" s="14">
        <f t="shared" si="40"/>
        <v>6</v>
      </c>
      <c r="C44" s="23">
        <v>3</v>
      </c>
      <c r="D44" s="20">
        <f t="shared" si="41"/>
        <v>0.75</v>
      </c>
      <c r="E44" s="9" t="s">
        <v>6</v>
      </c>
      <c r="F44" s="10" t="s">
        <v>32</v>
      </c>
      <c r="G44" s="10"/>
      <c r="J44" s="11"/>
    </row>
    <row r="45" spans="1:10" x14ac:dyDescent="0.25">
      <c r="A45" s="17">
        <v>43137</v>
      </c>
      <c r="B45" s="14">
        <f t="shared" si="40"/>
        <v>6</v>
      </c>
      <c r="C45" s="23">
        <v>1</v>
      </c>
      <c r="D45" s="20">
        <f t="shared" si="41"/>
        <v>0.25</v>
      </c>
      <c r="E45" s="9" t="s">
        <v>6</v>
      </c>
      <c r="F45" s="10" t="s">
        <v>22</v>
      </c>
      <c r="G45" s="10" t="s">
        <v>45</v>
      </c>
      <c r="J45" s="11"/>
    </row>
    <row r="46" spans="1:10" x14ac:dyDescent="0.25">
      <c r="A46" s="17">
        <v>43137</v>
      </c>
      <c r="B46" s="14">
        <f t="shared" si="40"/>
        <v>6</v>
      </c>
      <c r="C46" s="23">
        <v>1</v>
      </c>
      <c r="D46" s="20">
        <f t="shared" si="41"/>
        <v>0.25</v>
      </c>
      <c r="E46" s="9" t="s">
        <v>6</v>
      </c>
      <c r="F46" s="10" t="s">
        <v>23</v>
      </c>
      <c r="G46" s="10"/>
      <c r="J46" s="11"/>
    </row>
    <row r="47" spans="1:10" x14ac:dyDescent="0.25">
      <c r="A47" s="17">
        <v>43137</v>
      </c>
      <c r="B47" s="14">
        <f t="shared" si="40"/>
        <v>6</v>
      </c>
      <c r="C47" s="23">
        <v>1</v>
      </c>
      <c r="D47" s="20">
        <f t="shared" si="41"/>
        <v>0.25</v>
      </c>
      <c r="E47" s="9" t="s">
        <v>6</v>
      </c>
      <c r="F47" s="10" t="s">
        <v>24</v>
      </c>
      <c r="G47" s="10" t="s">
        <v>46</v>
      </c>
      <c r="J47" s="11"/>
    </row>
    <row r="48" spans="1:10" x14ac:dyDescent="0.25">
      <c r="A48" s="17">
        <v>43137</v>
      </c>
      <c r="B48" s="14">
        <f t="shared" si="40"/>
        <v>6</v>
      </c>
      <c r="C48" s="23">
        <v>6</v>
      </c>
      <c r="D48" s="20">
        <f t="shared" si="41"/>
        <v>1.5</v>
      </c>
      <c r="E48" s="9" t="s">
        <v>10</v>
      </c>
      <c r="F48" s="10" t="s">
        <v>25</v>
      </c>
      <c r="G48" s="10" t="s">
        <v>57</v>
      </c>
      <c r="J48" s="11"/>
    </row>
    <row r="49" spans="1:10" x14ac:dyDescent="0.25">
      <c r="A49" s="17">
        <v>43133</v>
      </c>
      <c r="B49" s="14">
        <f t="shared" si="40"/>
        <v>5</v>
      </c>
      <c r="C49" s="23">
        <v>2</v>
      </c>
      <c r="D49" s="20">
        <f t="shared" si="41"/>
        <v>0.5</v>
      </c>
      <c r="E49" s="9" t="s">
        <v>6</v>
      </c>
      <c r="F49" s="10" t="s">
        <v>20</v>
      </c>
      <c r="G49" s="10" t="s">
        <v>44</v>
      </c>
      <c r="J49" s="11"/>
    </row>
    <row r="50" spans="1:10" x14ac:dyDescent="0.25">
      <c r="A50" s="17">
        <v>43133</v>
      </c>
      <c r="B50" s="14">
        <f t="shared" si="40"/>
        <v>5</v>
      </c>
      <c r="C50" s="23">
        <v>3</v>
      </c>
      <c r="D50" s="20">
        <f t="shared" si="41"/>
        <v>0.75</v>
      </c>
      <c r="E50" s="9" t="s">
        <v>6</v>
      </c>
      <c r="F50" s="10" t="s">
        <v>21</v>
      </c>
      <c r="G50" s="10"/>
      <c r="J50" s="11"/>
    </row>
    <row r="51" spans="1:10" x14ac:dyDescent="0.25">
      <c r="A51" s="17">
        <v>43132</v>
      </c>
      <c r="B51" s="14">
        <f t="shared" si="40"/>
        <v>5</v>
      </c>
      <c r="C51" s="23">
        <v>0</v>
      </c>
      <c r="D51" s="20">
        <f t="shared" si="41"/>
        <v>0</v>
      </c>
      <c r="E51" s="9" t="s">
        <v>6</v>
      </c>
      <c r="F51" s="10" t="s">
        <v>14</v>
      </c>
      <c r="G51" s="10" t="s">
        <v>41</v>
      </c>
      <c r="J51" s="11"/>
    </row>
    <row r="52" spans="1:10" x14ac:dyDescent="0.25">
      <c r="A52" s="17">
        <v>43132</v>
      </c>
      <c r="B52" s="14">
        <f t="shared" si="40"/>
        <v>5</v>
      </c>
      <c r="C52" s="23">
        <v>1</v>
      </c>
      <c r="D52" s="20">
        <f t="shared" si="41"/>
        <v>0.25</v>
      </c>
      <c r="E52" s="9" t="s">
        <v>9</v>
      </c>
      <c r="F52" s="10" t="s">
        <v>15</v>
      </c>
      <c r="G52" s="10" t="s">
        <v>42</v>
      </c>
      <c r="J52" s="11"/>
    </row>
    <row r="53" spans="1:10" x14ac:dyDescent="0.25">
      <c r="A53" s="17">
        <v>43132</v>
      </c>
      <c r="B53" s="14">
        <f t="shared" si="40"/>
        <v>5</v>
      </c>
      <c r="C53" s="23">
        <v>8</v>
      </c>
      <c r="D53" s="20">
        <f t="shared" si="41"/>
        <v>2</v>
      </c>
      <c r="E53" s="9" t="s">
        <v>6</v>
      </c>
      <c r="F53" s="10" t="s">
        <v>16</v>
      </c>
      <c r="G53" s="10" t="s">
        <v>43</v>
      </c>
      <c r="J53" s="11"/>
    </row>
    <row r="54" spans="1:10" x14ac:dyDescent="0.25">
      <c r="A54" s="17">
        <v>43132</v>
      </c>
      <c r="B54" s="14">
        <f t="shared" si="40"/>
        <v>5</v>
      </c>
      <c r="C54" s="23">
        <v>1</v>
      </c>
      <c r="D54" s="20">
        <f t="shared" si="41"/>
        <v>0.25</v>
      </c>
      <c r="E54" s="9" t="s">
        <v>9</v>
      </c>
      <c r="F54" s="10" t="s">
        <v>17</v>
      </c>
      <c r="G54" s="10"/>
      <c r="J54" s="11"/>
    </row>
    <row r="55" spans="1:10" x14ac:dyDescent="0.25">
      <c r="A55" s="17">
        <v>43132</v>
      </c>
      <c r="B55" s="14">
        <f t="shared" si="40"/>
        <v>5</v>
      </c>
      <c r="C55" s="23">
        <v>1</v>
      </c>
      <c r="D55" s="20">
        <f t="shared" si="41"/>
        <v>0.25</v>
      </c>
      <c r="E55" s="9" t="s">
        <v>6</v>
      </c>
      <c r="F55" s="10" t="s">
        <v>18</v>
      </c>
      <c r="G55" s="10"/>
      <c r="J55" s="11"/>
    </row>
    <row r="56" spans="1:10" x14ac:dyDescent="0.25">
      <c r="A56" s="17">
        <v>43132</v>
      </c>
      <c r="B56" s="14">
        <f t="shared" si="40"/>
        <v>5</v>
      </c>
      <c r="C56" s="23">
        <v>1</v>
      </c>
      <c r="D56" s="20">
        <f t="shared" si="41"/>
        <v>0.25</v>
      </c>
      <c r="E56" s="9" t="s">
        <v>6</v>
      </c>
      <c r="F56" s="10" t="s">
        <v>19</v>
      </c>
      <c r="G56" s="10"/>
    </row>
  </sheetData>
  <sheetProtection selectLockedCells="1"/>
  <sortState ref="A2:G35">
    <sortCondition descending="1" ref="A2:A35"/>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5</xdr:col>
                    <xdr:colOff>47625</xdr:colOff>
                    <xdr:row>0</xdr:row>
                    <xdr:rowOff>28575</xdr:rowOff>
                  </from>
                  <to>
                    <xdr:col>5</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E2:E56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18"/>
  <sheetViews>
    <sheetView workbookViewId="0">
      <selection activeCell="A4" sqref="A4"/>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3" t="s">
        <v>13</v>
      </c>
    </row>
    <row r="4" spans="1:6" x14ac:dyDescent="0.25">
      <c r="B4" t="s">
        <v>9</v>
      </c>
      <c r="C4" t="s">
        <v>7</v>
      </c>
      <c r="D4" t="s">
        <v>6</v>
      </c>
      <c r="E4" t="s">
        <v>10</v>
      </c>
      <c r="F4" t="s">
        <v>11</v>
      </c>
    </row>
    <row r="5" spans="1:6" x14ac:dyDescent="0.25">
      <c r="A5" s="4">
        <v>43132</v>
      </c>
      <c r="B5" s="25">
        <v>0.5</v>
      </c>
      <c r="C5" s="25"/>
      <c r="D5" s="25">
        <v>2.25</v>
      </c>
      <c r="E5" s="25"/>
      <c r="F5" s="25">
        <v>2.75</v>
      </c>
    </row>
    <row r="6" spans="1:6" x14ac:dyDescent="0.25">
      <c r="A6" s="4">
        <v>43133</v>
      </c>
      <c r="B6" s="25"/>
      <c r="C6" s="25"/>
      <c r="D6" s="25">
        <v>1.25</v>
      </c>
      <c r="E6" s="25"/>
      <c r="F6" s="25">
        <v>1.25</v>
      </c>
    </row>
    <row r="7" spans="1:6" x14ac:dyDescent="0.25">
      <c r="A7" s="4">
        <v>43137</v>
      </c>
      <c r="B7" s="25"/>
      <c r="C7" s="25"/>
      <c r="D7" s="25">
        <v>0.75</v>
      </c>
      <c r="E7" s="25">
        <v>1.5</v>
      </c>
      <c r="F7" s="25">
        <v>2.25</v>
      </c>
    </row>
    <row r="8" spans="1:6" x14ac:dyDescent="0.25">
      <c r="A8" s="4">
        <v>43139</v>
      </c>
      <c r="B8" s="25"/>
      <c r="C8" s="25"/>
      <c r="D8" s="25">
        <v>6.5</v>
      </c>
      <c r="E8" s="25"/>
      <c r="F8" s="25">
        <v>6.5</v>
      </c>
    </row>
    <row r="9" spans="1:6" x14ac:dyDescent="0.25">
      <c r="A9" s="4">
        <v>43140</v>
      </c>
      <c r="B9" s="25"/>
      <c r="C9" s="25"/>
      <c r="D9" s="25">
        <v>1.5</v>
      </c>
      <c r="E9" s="25"/>
      <c r="F9" s="25">
        <v>1.5</v>
      </c>
    </row>
    <row r="10" spans="1:6" x14ac:dyDescent="0.25">
      <c r="A10" s="4">
        <v>43144</v>
      </c>
      <c r="B10" s="25"/>
      <c r="C10" s="25"/>
      <c r="D10" s="25"/>
      <c r="E10" s="25">
        <v>1.5</v>
      </c>
      <c r="F10" s="25">
        <v>1.5</v>
      </c>
    </row>
    <row r="11" spans="1:6" x14ac:dyDescent="0.25">
      <c r="A11" s="4">
        <v>43143</v>
      </c>
      <c r="B11" s="25"/>
      <c r="C11" s="25"/>
      <c r="D11" s="25">
        <v>2.25</v>
      </c>
      <c r="E11" s="25"/>
      <c r="F11" s="25">
        <v>2.25</v>
      </c>
    </row>
    <row r="12" spans="1:6" x14ac:dyDescent="0.25">
      <c r="A12" s="4">
        <v>43146</v>
      </c>
      <c r="B12" s="25"/>
      <c r="C12" s="25"/>
      <c r="D12" s="25">
        <v>6</v>
      </c>
      <c r="E12" s="25"/>
      <c r="F12" s="25">
        <v>6</v>
      </c>
    </row>
    <row r="13" spans="1:6" x14ac:dyDescent="0.25">
      <c r="A13" s="4">
        <v>43147</v>
      </c>
      <c r="B13" s="25"/>
      <c r="C13" s="25">
        <v>2.25</v>
      </c>
      <c r="D13" s="25"/>
      <c r="E13" s="25"/>
      <c r="F13" s="25">
        <v>2.25</v>
      </c>
    </row>
    <row r="14" spans="1:6" x14ac:dyDescent="0.25">
      <c r="A14" s="4">
        <v>43158</v>
      </c>
      <c r="B14" s="25"/>
      <c r="C14" s="25"/>
      <c r="D14" s="25">
        <v>2.25</v>
      </c>
      <c r="E14" s="25"/>
      <c r="F14" s="25">
        <v>2.25</v>
      </c>
    </row>
    <row r="15" spans="1:6" x14ac:dyDescent="0.25">
      <c r="A15" s="4">
        <v>43160</v>
      </c>
      <c r="B15" s="25"/>
      <c r="C15" s="25">
        <v>3</v>
      </c>
      <c r="D15" s="25">
        <v>1.5</v>
      </c>
      <c r="E15" s="25">
        <v>3</v>
      </c>
      <c r="F15" s="25">
        <v>7.5</v>
      </c>
    </row>
    <row r="16" spans="1:6" x14ac:dyDescent="0.25">
      <c r="A16" s="4">
        <v>43161</v>
      </c>
      <c r="B16" s="25"/>
      <c r="C16" s="25">
        <v>0.75</v>
      </c>
      <c r="D16" s="25">
        <v>2</v>
      </c>
      <c r="E16" s="25"/>
      <c r="F16" s="25">
        <v>2.75</v>
      </c>
    </row>
    <row r="17" spans="1:6" x14ac:dyDescent="0.25">
      <c r="A17" s="4">
        <v>43165</v>
      </c>
      <c r="B17" s="25">
        <v>1</v>
      </c>
      <c r="C17" s="25"/>
      <c r="D17" s="25"/>
      <c r="E17" s="25"/>
      <c r="F17" s="25">
        <v>1</v>
      </c>
    </row>
    <row r="18" spans="1:6" x14ac:dyDescent="0.25">
      <c r="A18" s="4" t="s">
        <v>11</v>
      </c>
      <c r="B18" s="25">
        <v>1.5</v>
      </c>
      <c r="C18" s="25">
        <v>6</v>
      </c>
      <c r="D18" s="25">
        <v>26.25</v>
      </c>
      <c r="E18" s="25">
        <v>6</v>
      </c>
      <c r="F18" s="25">
        <v>39.75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2018-04-17T09:10:05Z</dcterms:modified>
</cp:coreProperties>
</file>